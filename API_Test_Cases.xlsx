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450" yWindow="570" windowWidth="15040" windowHeight="6240"/>
  </bookViews>
  <sheets>
    <sheet name="Project_Первый" sheetId="1" r:id="rId1"/>
  </sheets>
  <calcPr calcId="144525"/>
</workbook>
</file>

<file path=xl/calcChain.xml><?xml version="1.0" encoding="utf-8"?>
<calcChain xmlns="http://schemas.openxmlformats.org/spreadsheetml/2006/main">
  <c r="C2" i="1" l="1"/>
  <c r="C12" i="1"/>
  <c r="C23" i="1"/>
  <c r="C35" i="1"/>
  <c r="C45" i="1"/>
</calcChain>
</file>

<file path=xl/sharedStrings.xml><?xml version="1.0" encoding="utf-8"?>
<sst xmlns="http://schemas.openxmlformats.org/spreadsheetml/2006/main" count="913" uniqueCount="85">
  <si>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</si>
  <si>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</si>
  <si>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</si>
  <si>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</si>
  <si>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</si>
  <si>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</si>
  <si>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</si>
  <si>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</si>
  <si>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</si>
  <si>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</si>
  <si>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</si>
  <si>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</si>
  <si>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</si>
  <si>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</si>
  <si>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</si>
  <si>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</si>
  <si>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</si>
  <si>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110</t>
  </si>
  <si>
    <t>Первый -&gt; Дипломный проект -&gt; 03. API - тестирование.</t>
  </si>
  <si>
    <t>Нет</t>
  </si>
  <si>
    <t/>
  </si>
  <si>
    <t>Высокий</t>
  </si>
  <si>
    <t>Готов</t>
  </si>
  <si>
    <t>10/6/2026 17:35:06</t>
  </si>
  <si>
    <t>Сергей Колесников</t>
  </si>
  <si>
    <t>0h 10m 0s</t>
  </si>
  <si>
    <t>API Kinopoisk доступен</t>
  </si>
  <si>
    <t>Получен действующий API-ключ.</t>
  </si>
  <si>
    <t>API-ключ передается в заголовке X-API-KEY.</t>
  </si>
  <si>
    <t>Для выполнения запроса используется Postman.</t>
  </si>
  <si>
    <t>Отправить GET-запрос на https://api.kinopoisk.dev/v1.4/movie с действительным API-ключом</t>
  </si>
  <si>
    <t>Сервер принимает запрос</t>
  </si>
  <si>
    <t>Проверить HTTP-статус ответа</t>
  </si>
  <si>
    <t>Получен статус 200 ОК</t>
  </si>
  <si>
    <t>Проверить заголовок Content-Type</t>
  </si>
  <si>
    <t>Ответ представлен в формате JSON.</t>
  </si>
  <si>
    <t>Проверить тело ответа</t>
  </si>
  <si>
    <t>Получен список фильмов.</t>
  </si>
  <si>
    <t>Проверить структуру ответа</t>
  </si>
  <si>
    <t>Ответ содержит данные, позволяющие идентифицировать фильмы.</t>
  </si>
  <si>
    <t>111</t>
  </si>
  <si>
    <t>10/6/2026 17:56:57</t>
  </si>
  <si>
    <t>API Kinopoisk доступен.</t>
  </si>
  <si>
    <t>API-ключ передаётся в заголовке X-API-KEY.</t>
  </si>
  <si>
    <t>Отправить GET-запрос на https://api.kinopoisk.dev/v1.4/movie/search?query=Интерстеллар с действительным API-ключом.</t>
  </si>
  <si>
    <t>Сервер принимает запрос.</t>
  </si>
  <si>
    <t>Проверить HTTP-статус ответа.</t>
  </si>
  <si>
    <t>Получен статус 200 OK.</t>
  </si>
  <si>
    <t>Проверить формат ответа</t>
  </si>
  <si>
    <t>Проверить результаты поиска</t>
  </si>
  <si>
    <t>В ответе присутствуют результаты по запросу “Интерстеллар”.</t>
  </si>
  <si>
    <t>Найти в результатах фильм “Интерстеллар”</t>
  </si>
  <si>
    <t>Фильм присутствует в результатах поиска.</t>
  </si>
  <si>
    <t>Проверить идентификатор найденного фильма</t>
  </si>
  <si>
    <t>ID фильма соответствует 258687.</t>
  </si>
  <si>
    <t>112</t>
  </si>
  <si>
    <t>10/6/2026 18:11:44</t>
  </si>
  <si>
    <t>Известен ID фильма “Интерстеллар” - 258687.</t>
  </si>
  <si>
    <t>Отправить GET-запрос на https: //api.kinopoisk.dev/v1.4/movie/258687 с действительным API-ключом.</t>
  </si>
  <si>
    <t>Получен статус 200 OK</t>
  </si>
  <si>
    <t>Проверить формат ответа.</t>
  </si>
  <si>
    <t>Проверить идентификатор фильма.</t>
  </si>
  <si>
    <t>В ответе присутствует ID 258687</t>
  </si>
  <si>
    <t>Проверить название фильма.</t>
  </si>
  <si>
    <t>В ответе присутствует информация о фильме “Интерстеллар”.</t>
  </si>
  <si>
    <t>Проверить основные данные фильма.</t>
  </si>
  <si>
    <t>В ответе присутствуют доступные сведения о фильме, например: год выпуска, рейтинг, жанры и другие поля.</t>
  </si>
  <si>
    <t>113</t>
  </si>
  <si>
    <t>Средний</t>
  </si>
  <si>
    <t>10/6/2026 18:25:56</t>
  </si>
  <si>
    <t>Подготовка заведомо несуществующий ID фильма: 999999999.</t>
  </si>
  <si>
    <t>Отправить GET-запрос на https://api.kinopoisk.dev/v1.4/movie/999999999 с действительным API-ключом.</t>
  </si>
  <si>
    <t>Получен статус 400 Bad Request</t>
  </si>
  <si>
    <t>Проверить тело ответа.</t>
  </si>
  <si>
    <t>Возвращается сообщение об ошибке, связанное с некорректным значением id.</t>
  </si>
  <si>
    <t>Проверить данные фильма.</t>
  </si>
  <si>
    <t>Данные существующего фильма не возвращаются.</t>
  </si>
  <si>
    <t>114</t>
  </si>
  <si>
    <t>10/7/2026 17:38:09</t>
  </si>
  <si>
    <t>Отправить GET-запрос на https:// api.kinopoisk.dev/v1.4/movie/abc с действительным API-ключом.</t>
  </si>
  <si>
    <t>Сервер обрабатывает запрос.</t>
  </si>
  <si>
    <t>Получен статус 400 Bad Request.</t>
  </si>
  <si>
    <t>Проверить сообщение об ошибке.</t>
  </si>
  <si>
    <t>API сообщает, что поле id должно содержать числовое значение.</t>
  </si>
  <si>
    <t>Данные фильма не возвращаются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</si>
</sst>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54" totalsRowShown="0">
  <autoFilter ref="A1:Q54"/>
  <tableColumns count="17">
    <tableColumn id="1" name="ID"/>
    <tableColumn id="2" name="Расположение"/>
    <tableColumn id="3" name="Наименование"/>
    <tableColumn id="4" name="Автоматизирован"/>
    <tableColumn id="5" name="Предусловия"/>
    <tableColumn id="6" name="Шаги"/>
    <tableColumn id="7" name="Постусловия"/>
    <tableColumn id="8" name="Ожидаемый результат"/>
    <tableColumn id="9" name="Тестовые данные"/>
    <tableColumn id="10" name="Комментарии"/>
    <tableColumn id="11" name="Итерации"/>
    <tableColumn id="12" name="Приоритет"/>
    <tableColumn id="13" name="Статус"/>
    <tableColumn id="14" name="Дата создания"/>
    <tableColumn id="15" name="Автор"/>
    <tableColumn id="16" name="Длительность"/>
    <tableColumn id="17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/>
  </sheetViews>
  <sheetFormatPr defaultColWidth="9.1796875" defaultRowHeight="14.5" x14ac:dyDescent="0.35"/>
  <cols>
    <col min="1" max="1" width="10.7265625" style="1" customWidth="1"/>
    <col min="2" max="3" width="50.7265625" style="2" customWidth="1"/>
    <col min="4" max="4" width="20.08984375" style="1" customWidth="1"/>
    <col min="5" max="6" width="50.7265625" style="1" customWidth="1"/>
    <col min="7" max="7" width="15.08984375" style="1" customWidth="1"/>
    <col min="8" max="8" width="50.7265625" style="1" customWidth="1"/>
    <col min="9" max="9" width="19.7265625" style="1" customWidth="1"/>
    <col min="10" max="10" width="16.453125" style="1" customWidth="1"/>
    <col min="11" max="11" width="12.26953125" style="1" customWidth="1"/>
    <col min="12" max="12" width="13.26953125" style="1" customWidth="1"/>
    <col min="13" max="13" width="10.7265625" style="1" customWidth="1"/>
    <col min="14" max="14" width="18.08984375" style="1" customWidth="1"/>
    <col min="15" max="15" width="19" style="1" customWidth="1"/>
    <col min="16" max="16" width="16.08984375" style="1" customWidth="1"/>
    <col min="17" max="17" width="10.7265625" style="1" customWidth="1"/>
    <col min="18" max="18" width="9.1796875" style="1" customWidth="1"/>
    <col min="19" max="16384" width="9.1796875" style="1"/>
  </cols>
  <sheetData>
    <row r="1" spans="1:17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1" t="s">
        <v>17</v>
      </c>
      <c r="B2" s="2" t="s">
        <v>18</v>
      </c>
      <c r="C2" s="2" t="str">
        <f>HYPERLINK("https://team-261i.testit.software/projects/1/tests/110", "КР-API-001 - Получение списка фильмов")</f>
        <v>КР-API-001 - Получение списка фильмов</v>
      </c>
      <c r="D2" s="1" t="s">
        <v>19</v>
      </c>
      <c r="E2" s="1" t="s">
        <v>20</v>
      </c>
      <c r="F2" s="1" t="s">
        <v>20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20</v>
      </c>
    </row>
    <row r="3" spans="1:17" x14ac:dyDescent="0.35">
      <c r="A3" s="1" t="s">
        <v>20</v>
      </c>
      <c r="B3" s="2" t="s">
        <v>20</v>
      </c>
      <c r="C3" s="2" t="s">
        <v>20</v>
      </c>
      <c r="D3" s="1" t="s">
        <v>20</v>
      </c>
      <c r="E3" s="1" t="s">
        <v>26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20</v>
      </c>
      <c r="Q3" s="1" t="s">
        <v>20</v>
      </c>
    </row>
    <row r="4" spans="1:17" x14ac:dyDescent="0.35">
      <c r="A4" s="1" t="s">
        <v>20</v>
      </c>
      <c r="B4" s="2" t="s">
        <v>20</v>
      </c>
      <c r="C4" s="2" t="s">
        <v>20</v>
      </c>
      <c r="D4" s="1" t="s">
        <v>20</v>
      </c>
      <c r="E4" s="1" t="s">
        <v>27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20</v>
      </c>
      <c r="Q4" s="1" t="s">
        <v>20</v>
      </c>
    </row>
    <row r="5" spans="1:17" x14ac:dyDescent="0.35">
      <c r="A5" s="1" t="s">
        <v>20</v>
      </c>
      <c r="B5" s="2" t="s">
        <v>20</v>
      </c>
      <c r="C5" s="2" t="s">
        <v>20</v>
      </c>
      <c r="D5" s="1" t="s">
        <v>20</v>
      </c>
      <c r="E5" s="1" t="s">
        <v>28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20</v>
      </c>
      <c r="Q5" s="1" t="s">
        <v>20</v>
      </c>
    </row>
    <row r="6" spans="1:17" x14ac:dyDescent="0.35">
      <c r="A6" s="1" t="s">
        <v>20</v>
      </c>
      <c r="B6" s="2" t="s">
        <v>20</v>
      </c>
      <c r="C6" s="2" t="s">
        <v>20</v>
      </c>
      <c r="D6" s="1" t="s">
        <v>20</v>
      </c>
      <c r="E6" s="1" t="s">
        <v>29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20</v>
      </c>
      <c r="Q6" s="1" t="s">
        <v>20</v>
      </c>
    </row>
    <row r="7" spans="1:17" x14ac:dyDescent="0.35">
      <c r="A7" s="1" t="s">
        <v>20</v>
      </c>
      <c r="B7" s="2" t="s">
        <v>20</v>
      </c>
      <c r="C7" s="2" t="s">
        <v>20</v>
      </c>
      <c r="D7" s="1" t="s">
        <v>20</v>
      </c>
      <c r="E7" s="1" t="s">
        <v>20</v>
      </c>
      <c r="F7" s="1" t="s">
        <v>30</v>
      </c>
      <c r="G7" s="1" t="s">
        <v>20</v>
      </c>
      <c r="H7" s="1" t="s">
        <v>31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20</v>
      </c>
      <c r="Q7" s="1" t="s">
        <v>20</v>
      </c>
    </row>
    <row r="8" spans="1:17" x14ac:dyDescent="0.35">
      <c r="A8" s="1" t="s">
        <v>20</v>
      </c>
      <c r="B8" s="2" t="s">
        <v>20</v>
      </c>
      <c r="C8" s="2" t="s">
        <v>20</v>
      </c>
      <c r="D8" s="1" t="s">
        <v>20</v>
      </c>
      <c r="E8" s="1" t="s">
        <v>20</v>
      </c>
      <c r="F8" s="1" t="s">
        <v>32</v>
      </c>
      <c r="G8" s="1" t="s">
        <v>20</v>
      </c>
      <c r="H8" s="1" t="s">
        <v>33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20</v>
      </c>
      <c r="Q8" s="1" t="s">
        <v>20</v>
      </c>
    </row>
    <row r="9" spans="1:17" x14ac:dyDescent="0.35">
      <c r="A9" s="1" t="s">
        <v>20</v>
      </c>
      <c r="B9" s="2" t="s">
        <v>20</v>
      </c>
      <c r="C9" s="2" t="s">
        <v>20</v>
      </c>
      <c r="D9" s="1" t="s">
        <v>20</v>
      </c>
      <c r="E9" s="1" t="s">
        <v>20</v>
      </c>
      <c r="F9" s="1" t="s">
        <v>34</v>
      </c>
      <c r="G9" s="1" t="s">
        <v>20</v>
      </c>
      <c r="H9" s="1" t="s">
        <v>35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20</v>
      </c>
      <c r="Q9" s="1" t="s">
        <v>20</v>
      </c>
    </row>
    <row r="10" spans="1:17" x14ac:dyDescent="0.35">
      <c r="A10" s="1" t="s">
        <v>20</v>
      </c>
      <c r="B10" s="2" t="s">
        <v>20</v>
      </c>
      <c r="C10" s="2" t="s">
        <v>20</v>
      </c>
      <c r="D10" s="1" t="s">
        <v>20</v>
      </c>
      <c r="E10" s="1" t="s">
        <v>20</v>
      </c>
      <c r="F10" s="1" t="s">
        <v>36</v>
      </c>
      <c r="G10" s="1" t="s">
        <v>20</v>
      </c>
      <c r="H10" s="1" t="s">
        <v>37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20</v>
      </c>
      <c r="Q10" s="1" t="s">
        <v>20</v>
      </c>
    </row>
    <row r="11" spans="1:17" x14ac:dyDescent="0.35">
      <c r="A11" s="1" t="s">
        <v>20</v>
      </c>
      <c r="B11" s="2" t="s">
        <v>20</v>
      </c>
      <c r="C11" s="2" t="s">
        <v>20</v>
      </c>
      <c r="D11" s="1" t="s">
        <v>20</v>
      </c>
      <c r="E11" s="1" t="s">
        <v>20</v>
      </c>
      <c r="F11" s="1" t="s">
        <v>38</v>
      </c>
      <c r="G11" s="1" t="s">
        <v>20</v>
      </c>
      <c r="H11" s="1" t="s">
        <v>39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20</v>
      </c>
      <c r="Q11" s="1" t="s">
        <v>20</v>
      </c>
    </row>
    <row r="12" spans="1:17" x14ac:dyDescent="0.35">
      <c r="A12" s="1" t="s">
        <v>40</v>
      </c>
      <c r="B12" s="2" t="s">
        <v>18</v>
      </c>
      <c r="C12" s="2" t="str">
        <f>HYPERLINK("https://team-261i.testit.software/projects/1/tests/111", "КР-API-002 - Поиск фильма по названию")</f>
        <v>КР-API-002 - Поиск фильма по названию</v>
      </c>
      <c r="D12" s="1" t="s">
        <v>19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21</v>
      </c>
      <c r="M12" s="1" t="s">
        <v>22</v>
      </c>
      <c r="N12" s="1" t="s">
        <v>41</v>
      </c>
      <c r="O12" s="1" t="s">
        <v>24</v>
      </c>
      <c r="P12" s="1" t="s">
        <v>25</v>
      </c>
      <c r="Q12" s="1" t="s">
        <v>20</v>
      </c>
    </row>
    <row r="13" spans="1:17" x14ac:dyDescent="0.35">
      <c r="A13" s="1" t="s">
        <v>20</v>
      </c>
      <c r="B13" s="2" t="s">
        <v>20</v>
      </c>
      <c r="C13" s="2" t="s">
        <v>20</v>
      </c>
      <c r="D13" s="1" t="s">
        <v>20</v>
      </c>
      <c r="E13" s="1" t="s">
        <v>42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20</v>
      </c>
      <c r="Q13" s="1" t="s">
        <v>20</v>
      </c>
    </row>
    <row r="14" spans="1:17" x14ac:dyDescent="0.35">
      <c r="A14" s="1" t="s">
        <v>20</v>
      </c>
      <c r="B14" s="2" t="s">
        <v>20</v>
      </c>
      <c r="C14" s="2" t="s">
        <v>20</v>
      </c>
      <c r="D14" s="1" t="s">
        <v>20</v>
      </c>
      <c r="E14" s="1" t="s">
        <v>27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20</v>
      </c>
      <c r="Q14" s="1" t="s">
        <v>20</v>
      </c>
    </row>
    <row r="15" spans="1:17" x14ac:dyDescent="0.35">
      <c r="A15" s="1" t="s">
        <v>20</v>
      </c>
      <c r="B15" s="2" t="s">
        <v>20</v>
      </c>
      <c r="C15" s="2" t="s">
        <v>20</v>
      </c>
      <c r="D15" s="1" t="s">
        <v>20</v>
      </c>
      <c r="E15" s="1" t="s">
        <v>43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20</v>
      </c>
      <c r="Q15" s="1" t="s">
        <v>20</v>
      </c>
    </row>
    <row r="16" spans="1:17" x14ac:dyDescent="0.35">
      <c r="A16" s="1" t="s">
        <v>20</v>
      </c>
      <c r="B16" s="2" t="s">
        <v>20</v>
      </c>
      <c r="C16" s="2" t="s">
        <v>20</v>
      </c>
      <c r="D16" s="1" t="s">
        <v>20</v>
      </c>
      <c r="E16" s="1" t="s">
        <v>29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20</v>
      </c>
      <c r="Q16" s="1" t="s">
        <v>20</v>
      </c>
    </row>
    <row r="17" spans="1:17" x14ac:dyDescent="0.35">
      <c r="A17" s="1" t="s">
        <v>20</v>
      </c>
      <c r="B17" s="2" t="s">
        <v>20</v>
      </c>
      <c r="C17" s="2" t="s">
        <v>20</v>
      </c>
      <c r="D17" s="1" t="s">
        <v>20</v>
      </c>
      <c r="E17" s="1" t="s">
        <v>20</v>
      </c>
      <c r="F17" s="1" t="s">
        <v>44</v>
      </c>
      <c r="G17" s="1" t="s">
        <v>20</v>
      </c>
      <c r="H17" s="1" t="s">
        <v>45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20</v>
      </c>
      <c r="Q17" s="1" t="s">
        <v>20</v>
      </c>
    </row>
    <row r="18" spans="1:17" x14ac:dyDescent="0.35">
      <c r="A18" s="1" t="s">
        <v>20</v>
      </c>
      <c r="B18" s="2" t="s">
        <v>20</v>
      </c>
      <c r="C18" s="2" t="s">
        <v>20</v>
      </c>
      <c r="D18" s="1" t="s">
        <v>20</v>
      </c>
      <c r="E18" s="1" t="s">
        <v>20</v>
      </c>
      <c r="F18" s="1" t="s">
        <v>46</v>
      </c>
      <c r="G18" s="1" t="s">
        <v>20</v>
      </c>
      <c r="H18" s="1" t="s">
        <v>47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20</v>
      </c>
      <c r="Q18" s="1" t="s">
        <v>20</v>
      </c>
    </row>
    <row r="19" spans="1:17" x14ac:dyDescent="0.35">
      <c r="A19" s="1" t="s">
        <v>20</v>
      </c>
      <c r="B19" s="2" t="s">
        <v>20</v>
      </c>
      <c r="C19" s="2" t="s">
        <v>20</v>
      </c>
      <c r="D19" s="1" t="s">
        <v>20</v>
      </c>
      <c r="E19" s="1" t="s">
        <v>20</v>
      </c>
      <c r="F19" s="1" t="s">
        <v>48</v>
      </c>
      <c r="G19" s="1" t="s">
        <v>20</v>
      </c>
      <c r="H19" s="1" t="s">
        <v>35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20</v>
      </c>
      <c r="Q19" s="1" t="s">
        <v>20</v>
      </c>
    </row>
    <row r="20" spans="1:17" x14ac:dyDescent="0.35">
      <c r="A20" s="1" t="s">
        <v>20</v>
      </c>
      <c r="B20" s="2" t="s">
        <v>20</v>
      </c>
      <c r="C20" s="2" t="s">
        <v>20</v>
      </c>
      <c r="D20" s="1" t="s">
        <v>20</v>
      </c>
      <c r="E20" s="1" t="s">
        <v>20</v>
      </c>
      <c r="F20" s="1" t="s">
        <v>49</v>
      </c>
      <c r="G20" s="1" t="s">
        <v>20</v>
      </c>
      <c r="H20" s="1" t="s">
        <v>50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20</v>
      </c>
      <c r="Q20" s="1" t="s">
        <v>20</v>
      </c>
    </row>
    <row r="21" spans="1:17" x14ac:dyDescent="0.35">
      <c r="A21" s="1" t="s">
        <v>20</v>
      </c>
      <c r="B21" s="2" t="s">
        <v>20</v>
      </c>
      <c r="C21" s="2" t="s">
        <v>20</v>
      </c>
      <c r="D21" s="1" t="s">
        <v>20</v>
      </c>
      <c r="E21" s="1" t="s">
        <v>20</v>
      </c>
      <c r="F21" s="1" t="s">
        <v>51</v>
      </c>
      <c r="G21" s="1" t="s">
        <v>20</v>
      </c>
      <c r="H21" s="1" t="s">
        <v>52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20</v>
      </c>
      <c r="Q21" s="1" t="s">
        <v>20</v>
      </c>
    </row>
    <row r="22" spans="1:17" x14ac:dyDescent="0.35">
      <c r="A22" s="1" t="s">
        <v>20</v>
      </c>
      <c r="B22" s="2" t="s">
        <v>20</v>
      </c>
      <c r="C22" s="2" t="s">
        <v>20</v>
      </c>
      <c r="D22" s="1" t="s">
        <v>20</v>
      </c>
      <c r="E22" s="1" t="s">
        <v>20</v>
      </c>
      <c r="F22" s="1" t="s">
        <v>53</v>
      </c>
      <c r="G22" s="1" t="s">
        <v>20</v>
      </c>
      <c r="H22" s="1" t="s">
        <v>54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20</v>
      </c>
      <c r="Q22" s="1" t="s">
        <v>20</v>
      </c>
    </row>
    <row r="23" spans="1:17" x14ac:dyDescent="0.35">
      <c r="A23" s="1" t="s">
        <v>55</v>
      </c>
      <c r="B23" s="2" t="s">
        <v>18</v>
      </c>
      <c r="C23" s="2" t="str">
        <f>HYPERLINK("https://team-261i.testit.software/projects/1/tests/112", "КР-API-003 - Получение информации о фильме по ID")</f>
        <v>КР-API-003 - Получение информации о фильме по ID</v>
      </c>
      <c r="D23" s="1" t="s">
        <v>19</v>
      </c>
      <c r="E23" s="1" t="s">
        <v>20</v>
      </c>
      <c r="F23" s="1" t="s">
        <v>20</v>
      </c>
      <c r="G23" s="1" t="s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21</v>
      </c>
      <c r="M23" s="1" t="s">
        <v>22</v>
      </c>
      <c r="N23" s="1" t="s">
        <v>56</v>
      </c>
      <c r="O23" s="1" t="s">
        <v>24</v>
      </c>
      <c r="P23" s="1" t="s">
        <v>25</v>
      </c>
      <c r="Q23" s="1" t="s">
        <v>20</v>
      </c>
    </row>
    <row r="24" spans="1:17" x14ac:dyDescent="0.35">
      <c r="A24" s="1" t="s">
        <v>20</v>
      </c>
      <c r="B24" s="2" t="s">
        <v>20</v>
      </c>
      <c r="C24" s="2" t="s">
        <v>20</v>
      </c>
      <c r="D24" s="1" t="s">
        <v>20</v>
      </c>
      <c r="E24" s="1" t="s">
        <v>26</v>
      </c>
      <c r="F24" s="1" t="s">
        <v>20</v>
      </c>
      <c r="G24" s="1" t="s">
        <v>20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20</v>
      </c>
      <c r="Q24" s="1" t="s">
        <v>20</v>
      </c>
    </row>
    <row r="25" spans="1:17" x14ac:dyDescent="0.35">
      <c r="A25" s="1" t="s">
        <v>20</v>
      </c>
      <c r="B25" s="2" t="s">
        <v>20</v>
      </c>
      <c r="C25" s="2" t="s">
        <v>20</v>
      </c>
      <c r="D25" s="1" t="s">
        <v>20</v>
      </c>
      <c r="E25" s="1" t="s">
        <v>27</v>
      </c>
      <c r="F25" s="1" t="s">
        <v>20</v>
      </c>
      <c r="G25" s="1" t="s">
        <v>20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20</v>
      </c>
      <c r="Q25" s="1" t="s">
        <v>20</v>
      </c>
    </row>
    <row r="26" spans="1:17" x14ac:dyDescent="0.35">
      <c r="A26" s="1" t="s">
        <v>20</v>
      </c>
      <c r="B26" s="2" t="s">
        <v>20</v>
      </c>
      <c r="C26" s="2" t="s">
        <v>20</v>
      </c>
      <c r="D26" s="1" t="s">
        <v>20</v>
      </c>
      <c r="E26" s="1" t="s">
        <v>43</v>
      </c>
      <c r="F26" s="1" t="s">
        <v>20</v>
      </c>
      <c r="G26" s="1" t="s">
        <v>20</v>
      </c>
      <c r="H26" s="1" t="s">
        <v>20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20</v>
      </c>
      <c r="Q26" s="1" t="s">
        <v>20</v>
      </c>
    </row>
    <row r="27" spans="1:17" x14ac:dyDescent="0.35">
      <c r="A27" s="1" t="s">
        <v>20</v>
      </c>
      <c r="B27" s="2" t="s">
        <v>20</v>
      </c>
      <c r="C27" s="2" t="s">
        <v>20</v>
      </c>
      <c r="D27" s="1" t="s">
        <v>20</v>
      </c>
      <c r="E27" s="1" t="s">
        <v>29</v>
      </c>
      <c r="F27" s="1" t="s">
        <v>20</v>
      </c>
      <c r="G27" s="1" t="s">
        <v>20</v>
      </c>
      <c r="H27" s="1" t="s">
        <v>20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20</v>
      </c>
      <c r="Q27" s="1" t="s">
        <v>20</v>
      </c>
    </row>
    <row r="28" spans="1:17" x14ac:dyDescent="0.35">
      <c r="A28" s="1" t="s">
        <v>20</v>
      </c>
      <c r="B28" s="2" t="s">
        <v>20</v>
      </c>
      <c r="C28" s="2" t="s">
        <v>20</v>
      </c>
      <c r="D28" s="1" t="s">
        <v>20</v>
      </c>
      <c r="E28" s="1" t="s">
        <v>57</v>
      </c>
      <c r="F28" s="1" t="s">
        <v>20</v>
      </c>
      <c r="G28" s="1" t="s">
        <v>20</v>
      </c>
      <c r="H28" s="1" t="s">
        <v>20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20</v>
      </c>
      <c r="Q28" s="1" t="s">
        <v>20</v>
      </c>
    </row>
    <row r="29" spans="1:17" x14ac:dyDescent="0.35">
      <c r="A29" s="1" t="s">
        <v>20</v>
      </c>
      <c r="B29" s="2" t="s">
        <v>20</v>
      </c>
      <c r="C29" s="2" t="s">
        <v>20</v>
      </c>
      <c r="D29" s="1" t="s">
        <v>20</v>
      </c>
      <c r="E29" s="1" t="s">
        <v>20</v>
      </c>
      <c r="F29" s="1" t="s">
        <v>58</v>
      </c>
      <c r="G29" s="1" t="s">
        <v>20</v>
      </c>
      <c r="H29" s="1" t="s">
        <v>45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 t="s">
        <v>20</v>
      </c>
      <c r="Q29" s="1" t="s">
        <v>20</v>
      </c>
    </row>
    <row r="30" spans="1:17" x14ac:dyDescent="0.35">
      <c r="A30" s="1" t="s">
        <v>20</v>
      </c>
      <c r="B30" s="2" t="s">
        <v>20</v>
      </c>
      <c r="C30" s="2" t="s">
        <v>20</v>
      </c>
      <c r="D30" s="1" t="s">
        <v>20</v>
      </c>
      <c r="E30" s="1" t="s">
        <v>20</v>
      </c>
      <c r="F30" s="1" t="s">
        <v>46</v>
      </c>
      <c r="G30" s="1" t="s">
        <v>20</v>
      </c>
      <c r="H30" s="1" t="s">
        <v>59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20</v>
      </c>
      <c r="Q30" s="1" t="s">
        <v>20</v>
      </c>
    </row>
    <row r="31" spans="1:17" x14ac:dyDescent="0.35">
      <c r="A31" s="1" t="s">
        <v>20</v>
      </c>
      <c r="B31" s="2" t="s">
        <v>20</v>
      </c>
      <c r="C31" s="2" t="s">
        <v>20</v>
      </c>
      <c r="D31" s="1" t="s">
        <v>20</v>
      </c>
      <c r="E31" s="1" t="s">
        <v>20</v>
      </c>
      <c r="F31" s="1" t="s">
        <v>60</v>
      </c>
      <c r="G31" s="1" t="s">
        <v>20</v>
      </c>
      <c r="H31" s="1" t="s">
        <v>35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20</v>
      </c>
      <c r="Q31" s="1" t="s">
        <v>20</v>
      </c>
    </row>
    <row r="32" spans="1:17" x14ac:dyDescent="0.35">
      <c r="A32" s="1" t="s">
        <v>20</v>
      </c>
      <c r="B32" s="2" t="s">
        <v>20</v>
      </c>
      <c r="C32" s="2" t="s">
        <v>20</v>
      </c>
      <c r="D32" s="1" t="s">
        <v>20</v>
      </c>
      <c r="E32" s="1" t="s">
        <v>20</v>
      </c>
      <c r="F32" s="1" t="s">
        <v>61</v>
      </c>
      <c r="G32" s="1" t="s">
        <v>20</v>
      </c>
      <c r="H32" s="1" t="s">
        <v>62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20</v>
      </c>
      <c r="Q32" s="1" t="s">
        <v>20</v>
      </c>
    </row>
    <row r="33" spans="1:17" x14ac:dyDescent="0.35">
      <c r="A33" s="1" t="s">
        <v>20</v>
      </c>
      <c r="B33" s="2" t="s">
        <v>20</v>
      </c>
      <c r="C33" s="2" t="s">
        <v>20</v>
      </c>
      <c r="D33" s="1" t="s">
        <v>20</v>
      </c>
      <c r="E33" s="1" t="s">
        <v>20</v>
      </c>
      <c r="F33" s="1" t="s">
        <v>63</v>
      </c>
      <c r="G33" s="1" t="s">
        <v>20</v>
      </c>
      <c r="H33" s="1" t="s">
        <v>64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20</v>
      </c>
      <c r="Q33" s="1" t="s">
        <v>20</v>
      </c>
    </row>
    <row r="34" spans="1:17" x14ac:dyDescent="0.35">
      <c r="A34" s="1" t="s">
        <v>20</v>
      </c>
      <c r="B34" s="2" t="s">
        <v>20</v>
      </c>
      <c r="C34" s="2" t="s">
        <v>20</v>
      </c>
      <c r="D34" s="1" t="s">
        <v>20</v>
      </c>
      <c r="E34" s="1" t="s">
        <v>20</v>
      </c>
      <c r="F34" s="1" t="s">
        <v>65</v>
      </c>
      <c r="G34" s="1" t="s">
        <v>20</v>
      </c>
      <c r="H34" s="1" t="s">
        <v>66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20</v>
      </c>
      <c r="Q34" s="1" t="s">
        <v>20</v>
      </c>
    </row>
    <row r="35" spans="1:17" x14ac:dyDescent="0.35">
      <c r="A35" s="1" t="s">
        <v>67</v>
      </c>
      <c r="B35" s="2" t="s">
        <v>18</v>
      </c>
      <c r="C35" s="2" t="str">
        <f>HYPERLINK("https://team-261i.testit.software/projects/1/tests/113", "КР-API-004 - Получение фильма по некорректному ID")</f>
        <v>КР-API-004 - Получение фильма по некорректному ID</v>
      </c>
      <c r="D35" s="1" t="s">
        <v>19</v>
      </c>
      <c r="E35" s="1" t="s">
        <v>20</v>
      </c>
      <c r="F35" s="1" t="s">
        <v>20</v>
      </c>
      <c r="G35" s="1" t="s">
        <v>20</v>
      </c>
      <c r="H35" s="1" t="s">
        <v>20</v>
      </c>
      <c r="I35" s="1" t="s">
        <v>20</v>
      </c>
      <c r="J35" s="1" t="s">
        <v>20</v>
      </c>
      <c r="K35" s="1" t="s">
        <v>20</v>
      </c>
      <c r="L35" s="1" t="s">
        <v>68</v>
      </c>
      <c r="M35" s="1" t="s">
        <v>22</v>
      </c>
      <c r="N35" s="1" t="s">
        <v>69</v>
      </c>
      <c r="O35" s="1" t="s">
        <v>24</v>
      </c>
      <c r="P35" s="1" t="s">
        <v>25</v>
      </c>
      <c r="Q35" s="1" t="s">
        <v>20</v>
      </c>
    </row>
    <row r="36" spans="1:17" x14ac:dyDescent="0.35">
      <c r="A36" s="1" t="s">
        <v>20</v>
      </c>
      <c r="B36" s="2" t="s">
        <v>20</v>
      </c>
      <c r="C36" s="2" t="s">
        <v>20</v>
      </c>
      <c r="D36" s="1" t="s">
        <v>20</v>
      </c>
      <c r="E36" s="1" t="s">
        <v>42</v>
      </c>
      <c r="F36" s="1" t="s">
        <v>20</v>
      </c>
      <c r="G36" s="1" t="s">
        <v>20</v>
      </c>
      <c r="H36" s="1" t="s">
        <v>20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20</v>
      </c>
      <c r="Q36" s="1" t="s">
        <v>20</v>
      </c>
    </row>
    <row r="37" spans="1:17" x14ac:dyDescent="0.35">
      <c r="A37" s="1" t="s">
        <v>20</v>
      </c>
      <c r="B37" s="2" t="s">
        <v>20</v>
      </c>
      <c r="C37" s="2" t="s">
        <v>20</v>
      </c>
      <c r="D37" s="1" t="s">
        <v>20</v>
      </c>
      <c r="E37" s="1" t="s">
        <v>27</v>
      </c>
      <c r="F37" s="1" t="s">
        <v>20</v>
      </c>
      <c r="G37" s="1" t="s">
        <v>20</v>
      </c>
      <c r="H37" s="1" t="s">
        <v>20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20</v>
      </c>
      <c r="Q37" s="1" t="s">
        <v>20</v>
      </c>
    </row>
    <row r="38" spans="1:17" x14ac:dyDescent="0.35">
      <c r="A38" s="1" t="s">
        <v>20</v>
      </c>
      <c r="B38" s="2" t="s">
        <v>20</v>
      </c>
      <c r="C38" s="2" t="s">
        <v>20</v>
      </c>
      <c r="D38" s="1" t="s">
        <v>20</v>
      </c>
      <c r="E38" s="1" t="s">
        <v>28</v>
      </c>
      <c r="F38" s="1" t="s">
        <v>20</v>
      </c>
      <c r="G38" s="1" t="s">
        <v>20</v>
      </c>
      <c r="H38" s="1" t="s">
        <v>20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20</v>
      </c>
      <c r="Q38" s="1" t="s">
        <v>20</v>
      </c>
    </row>
    <row r="39" spans="1:17" x14ac:dyDescent="0.35">
      <c r="A39" s="1" t="s">
        <v>20</v>
      </c>
      <c r="B39" s="2" t="s">
        <v>20</v>
      </c>
      <c r="C39" s="2" t="s">
        <v>20</v>
      </c>
      <c r="D39" s="1" t="s">
        <v>20</v>
      </c>
      <c r="E39" s="1" t="s">
        <v>29</v>
      </c>
      <c r="F39" s="1" t="s">
        <v>20</v>
      </c>
      <c r="G39" s="1" t="s">
        <v>20</v>
      </c>
      <c r="H39" s="1" t="s">
        <v>20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20</v>
      </c>
      <c r="Q39" s="1" t="s">
        <v>20</v>
      </c>
    </row>
    <row r="40" spans="1:17" x14ac:dyDescent="0.35">
      <c r="A40" s="1" t="s">
        <v>20</v>
      </c>
      <c r="B40" s="2" t="s">
        <v>20</v>
      </c>
      <c r="C40" s="2" t="s">
        <v>20</v>
      </c>
      <c r="D40" s="1" t="s">
        <v>20</v>
      </c>
      <c r="E40" s="1" t="s">
        <v>70</v>
      </c>
      <c r="F40" s="1" t="s">
        <v>20</v>
      </c>
      <c r="G40" s="1" t="s">
        <v>20</v>
      </c>
      <c r="H40" s="1" t="s">
        <v>20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20</v>
      </c>
      <c r="Q40" s="1" t="s">
        <v>20</v>
      </c>
    </row>
    <row r="41" spans="1:17" x14ac:dyDescent="0.35">
      <c r="A41" s="1" t="s">
        <v>20</v>
      </c>
      <c r="B41" s="2" t="s">
        <v>20</v>
      </c>
      <c r="C41" s="2" t="s">
        <v>20</v>
      </c>
      <c r="D41" s="1" t="s">
        <v>20</v>
      </c>
      <c r="E41" s="1" t="s">
        <v>20</v>
      </c>
      <c r="F41" s="1" t="s">
        <v>71</v>
      </c>
      <c r="G41" s="1" t="s">
        <v>20</v>
      </c>
      <c r="H41" s="1" t="s">
        <v>45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20</v>
      </c>
      <c r="Q41" s="1" t="s">
        <v>20</v>
      </c>
    </row>
    <row r="42" spans="1:17" x14ac:dyDescent="0.35">
      <c r="A42" s="1" t="s">
        <v>20</v>
      </c>
      <c r="B42" s="2" t="s">
        <v>20</v>
      </c>
      <c r="C42" s="2" t="s">
        <v>20</v>
      </c>
      <c r="D42" s="1" t="s">
        <v>20</v>
      </c>
      <c r="E42" s="1" t="s">
        <v>20</v>
      </c>
      <c r="F42" s="1" t="s">
        <v>46</v>
      </c>
      <c r="G42" s="1" t="s">
        <v>20</v>
      </c>
      <c r="H42" s="1" t="s">
        <v>72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20</v>
      </c>
      <c r="Q42" s="1" t="s">
        <v>20</v>
      </c>
    </row>
    <row r="43" spans="1:17" x14ac:dyDescent="0.35">
      <c r="A43" s="1" t="s">
        <v>20</v>
      </c>
      <c r="B43" s="2" t="s">
        <v>20</v>
      </c>
      <c r="C43" s="2" t="s">
        <v>20</v>
      </c>
      <c r="D43" s="1" t="s">
        <v>20</v>
      </c>
      <c r="E43" s="1" t="s">
        <v>20</v>
      </c>
      <c r="F43" s="1" t="s">
        <v>73</v>
      </c>
      <c r="G43" s="1" t="s">
        <v>20</v>
      </c>
      <c r="H43" s="1" t="s">
        <v>74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20</v>
      </c>
      <c r="Q43" s="1" t="s">
        <v>20</v>
      </c>
    </row>
    <row r="44" spans="1:17" x14ac:dyDescent="0.35">
      <c r="A44" s="1" t="s">
        <v>20</v>
      </c>
      <c r="B44" s="2" t="s">
        <v>20</v>
      </c>
      <c r="C44" s="2" t="s">
        <v>20</v>
      </c>
      <c r="D44" s="1" t="s">
        <v>20</v>
      </c>
      <c r="E44" s="1" t="s">
        <v>20</v>
      </c>
      <c r="F44" s="1" t="s">
        <v>75</v>
      </c>
      <c r="G44" s="1" t="s">
        <v>20</v>
      </c>
      <c r="H44" s="1" t="s">
        <v>76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20</v>
      </c>
      <c r="Q44" s="1" t="s">
        <v>20</v>
      </c>
    </row>
    <row r="45" spans="1:17" x14ac:dyDescent="0.35">
      <c r="A45" s="1" t="s">
        <v>77</v>
      </c>
      <c r="B45" s="2" t="s">
        <v>18</v>
      </c>
      <c r="C45" s="2" t="str">
        <f>HYPERLINK("https://team-261i.testit.software/projects/1/tests/114", "КР-API-005 - Получение фильма с некорректным ID")</f>
        <v>КР-API-005 - Получение фильма с некорректным ID</v>
      </c>
      <c r="D45" s="1" t="s">
        <v>19</v>
      </c>
      <c r="E45" s="1" t="s">
        <v>20</v>
      </c>
      <c r="F45" s="1" t="s">
        <v>20</v>
      </c>
      <c r="G45" s="1" t="s">
        <v>20</v>
      </c>
      <c r="H45" s="1" t="s">
        <v>20</v>
      </c>
      <c r="I45" s="1" t="s">
        <v>20</v>
      </c>
      <c r="J45" s="1" t="s">
        <v>20</v>
      </c>
      <c r="K45" s="1" t="s">
        <v>20</v>
      </c>
      <c r="L45" s="1" t="s">
        <v>68</v>
      </c>
      <c r="M45" s="1" t="s">
        <v>22</v>
      </c>
      <c r="N45" s="1" t="s">
        <v>78</v>
      </c>
      <c r="O45" s="1" t="s">
        <v>24</v>
      </c>
      <c r="P45" s="1" t="s">
        <v>25</v>
      </c>
      <c r="Q45" s="1" t="s">
        <v>20</v>
      </c>
    </row>
    <row r="46" spans="1:17" x14ac:dyDescent="0.35">
      <c r="A46" s="1" t="s">
        <v>20</v>
      </c>
      <c r="B46" s="2" t="s">
        <v>20</v>
      </c>
      <c r="C46" s="2" t="s">
        <v>20</v>
      </c>
      <c r="D46" s="1" t="s">
        <v>20</v>
      </c>
      <c r="E46" s="1" t="s">
        <v>42</v>
      </c>
      <c r="F46" s="1" t="s">
        <v>20</v>
      </c>
      <c r="G46" s="1" t="s">
        <v>20</v>
      </c>
      <c r="H46" s="1" t="s">
        <v>20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 t="s">
        <v>20</v>
      </c>
      <c r="Q46" s="1" t="s">
        <v>20</v>
      </c>
    </row>
    <row r="47" spans="1:17" x14ac:dyDescent="0.35">
      <c r="A47" s="1" t="s">
        <v>20</v>
      </c>
      <c r="B47" s="2" t="s">
        <v>20</v>
      </c>
      <c r="C47" s="2" t="s">
        <v>20</v>
      </c>
      <c r="D47" s="1" t="s">
        <v>20</v>
      </c>
      <c r="E47" s="1" t="s">
        <v>27</v>
      </c>
      <c r="F47" s="1" t="s">
        <v>20</v>
      </c>
      <c r="G47" s="1" t="s">
        <v>20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</v>
      </c>
      <c r="Q47" s="1" t="s">
        <v>20</v>
      </c>
    </row>
    <row r="48" spans="1:17" x14ac:dyDescent="0.35">
      <c r="A48" s="1" t="s">
        <v>20</v>
      </c>
      <c r="B48" s="2" t="s">
        <v>20</v>
      </c>
      <c r="C48" s="2" t="s">
        <v>20</v>
      </c>
      <c r="D48" s="1" t="s">
        <v>20</v>
      </c>
      <c r="E48" s="1" t="s">
        <v>43</v>
      </c>
      <c r="F48" s="1" t="s">
        <v>20</v>
      </c>
      <c r="G48" s="1" t="s">
        <v>20</v>
      </c>
      <c r="H48" s="1" t="s">
        <v>20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</v>
      </c>
      <c r="Q48" s="1" t="s">
        <v>20</v>
      </c>
    </row>
    <row r="49" spans="1:17" x14ac:dyDescent="0.35">
      <c r="A49" s="1" t="s">
        <v>20</v>
      </c>
      <c r="B49" s="2" t="s">
        <v>20</v>
      </c>
      <c r="C49" s="2" t="s">
        <v>20</v>
      </c>
      <c r="D49" s="1" t="s">
        <v>20</v>
      </c>
      <c r="E49" s="1" t="s">
        <v>29</v>
      </c>
      <c r="F49" s="1" t="s">
        <v>20</v>
      </c>
      <c r="G49" s="1" t="s">
        <v>20</v>
      </c>
      <c r="H49" s="1" t="s">
        <v>20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20</v>
      </c>
      <c r="Q49" s="1" t="s">
        <v>20</v>
      </c>
    </row>
    <row r="50" spans="1:17" x14ac:dyDescent="0.35">
      <c r="A50" s="1" t="s">
        <v>20</v>
      </c>
      <c r="B50" s="2" t="s">
        <v>20</v>
      </c>
      <c r="C50" s="2" t="s">
        <v>20</v>
      </c>
      <c r="D50" s="1" t="s">
        <v>20</v>
      </c>
      <c r="E50" s="1" t="s">
        <v>20</v>
      </c>
      <c r="F50" s="1" t="s">
        <v>79</v>
      </c>
      <c r="G50" s="1" t="s">
        <v>20</v>
      </c>
      <c r="H50" s="1" t="s">
        <v>80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20</v>
      </c>
      <c r="Q50" s="1" t="s">
        <v>20</v>
      </c>
    </row>
    <row r="51" spans="1:17" x14ac:dyDescent="0.35">
      <c r="A51" s="1" t="s">
        <v>20</v>
      </c>
      <c r="B51" s="2" t="s">
        <v>20</v>
      </c>
      <c r="C51" s="2" t="s">
        <v>20</v>
      </c>
      <c r="D51" s="1" t="s">
        <v>20</v>
      </c>
      <c r="E51" s="1" t="s">
        <v>20</v>
      </c>
      <c r="F51" s="1" t="s">
        <v>46</v>
      </c>
      <c r="G51" s="1" t="s">
        <v>20</v>
      </c>
      <c r="H51" s="1" t="s">
        <v>81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20</v>
      </c>
      <c r="Q51" s="1" t="s">
        <v>20</v>
      </c>
    </row>
    <row r="52" spans="1:17" x14ac:dyDescent="0.35">
      <c r="A52" s="1" t="s">
        <v>20</v>
      </c>
      <c r="B52" s="2" t="s">
        <v>20</v>
      </c>
      <c r="C52" s="2" t="s">
        <v>20</v>
      </c>
      <c r="D52" s="1" t="s">
        <v>20</v>
      </c>
      <c r="E52" s="1" t="s">
        <v>20</v>
      </c>
      <c r="F52" s="1" t="s">
        <v>60</v>
      </c>
      <c r="G52" s="1" t="s">
        <v>20</v>
      </c>
      <c r="H52" s="1" t="s">
        <v>35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20</v>
      </c>
      <c r="Q52" s="1" t="s">
        <v>20</v>
      </c>
    </row>
    <row r="53" spans="1:17" x14ac:dyDescent="0.35">
      <c r="A53" s="1" t="s">
        <v>20</v>
      </c>
      <c r="B53" s="2" t="s">
        <v>20</v>
      </c>
      <c r="C53" s="2" t="s">
        <v>20</v>
      </c>
      <c r="D53" s="1" t="s">
        <v>20</v>
      </c>
      <c r="E53" s="1" t="s">
        <v>20</v>
      </c>
      <c r="F53" s="1" t="s">
        <v>82</v>
      </c>
      <c r="G53" s="1" t="s">
        <v>20</v>
      </c>
      <c r="H53" s="1" t="s">
        <v>83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20</v>
      </c>
      <c r="Q53" s="1" t="s">
        <v>20</v>
      </c>
    </row>
    <row r="54" spans="1:17" x14ac:dyDescent="0.35">
      <c r="A54" s="1" t="s">
        <v>20</v>
      </c>
      <c r="B54" s="2" t="s">
        <v>20</v>
      </c>
      <c r="C54" s="2" t="s">
        <v>20</v>
      </c>
      <c r="D54" s="1" t="s">
        <v>20</v>
      </c>
      <c r="E54" s="1" t="s">
        <v>20</v>
      </c>
      <c r="F54" s="1" t="s">
        <v>75</v>
      </c>
      <c r="G54" s="1" t="s">
        <v>20</v>
      </c>
      <c r="H54" s="1" t="s">
        <v>84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20</v>
      </c>
      <c r="Q54" s="1" t="s">
        <v>20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Project_Первый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2026-10-18T12:35:19Z</dcterms:created>
  <dcterms:modified xsi:type="dcterms:W3CDTF">2026-10-18T12:36:41Z</dcterms:modified>
</cp:coreProperties>
</file>