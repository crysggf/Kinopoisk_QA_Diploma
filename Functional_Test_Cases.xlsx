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450" yWindow="570" windowWidth="15040" windowHeight="6240"/>
  </bookViews>
  <sheets>
    <sheet name="Project_Первый" sheetId="1" r:id="rId1"/>
  </sheets>
  <calcPr calcId="144525"/>
</workbook>
</file>

<file path=xl/calcChain.xml><?xml version="1.0" encoding="utf-8"?>
<calcChain xmlns="http://schemas.openxmlformats.org/spreadsheetml/2006/main">
  <c r="C2" i="1" l="1"/>
  <c r="C10" i="1"/>
  <c r="C18" i="1"/>
  <c r="C26" i="1"/>
  <c r="C35" i="1"/>
  <c r="C43" i="1"/>
</calcChain>
</file>

<file path=xl/sharedStrings.xml><?xml version="1.0" encoding="utf-8"?>
<sst xmlns="http://schemas.openxmlformats.org/spreadsheetml/2006/main" count="844" uniqueCount="91">
  <si>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</si>
  <si>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</si>
  <si>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</si>
  <si>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</si>
  <si>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</si>
  <si>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</si>
  <si>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</si>
  <si>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</si>
  <si>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</si>
  <si>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</si>
  <si>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</si>
  <si>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</si>
  <si>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</si>
  <si>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</si>
  <si>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</si>
  <si>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</si>
  <si>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</si>
  <si>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94</t>
  </si>
  <si>
    <t>Первый -&gt; Дипломный проект -&gt; 01. Функциональное тестирование</t>
  </si>
  <si>
    <t>Нет</t>
  </si>
  <si>
    <t/>
  </si>
  <si>
    <t>Высокий</t>
  </si>
  <si>
    <t>Готов</t>
  </si>
  <si>
    <t>10/5/2026 15:59:53</t>
  </si>
  <si>
    <t>Сергей Колесников</t>
  </si>
  <si>
    <t>0h 10m 0s</t>
  </si>
  <si>
    <t>Открыта главная страница Kinopoisk. https://www.kinopoisk.ru/</t>
  </si>
  <si>
    <t>Поисковая строка доступна пользователю.</t>
  </si>
  <si>
    <t>Пользователь не авторизован.</t>
  </si>
  <si>
    <t>Нажать на поисковую строку</t>
  </si>
  <si>
    <t>Поисковая строка становится активной и позволяет вводить текст.</t>
  </si>
  <si>
    <t>Ввести в поисковую строку значение “Интерстеллар”.</t>
  </si>
  <si>
    <t>В поисковой строке отображается введенное значение “Интерстеллар”.</t>
  </si>
  <si>
    <t>Запустить поиск</t>
  </si>
  <si>
    <t>Система выполняет поиск и отображает страницу с результатами.</t>
  </si>
  <si>
    <t>Найти в результате поиска фильм “Интерстеллар”.</t>
  </si>
  <si>
    <t>В результатах отображается фильм “Интерстеллар” с корректным названием.</t>
  </si>
  <si>
    <t>95</t>
  </si>
  <si>
    <t>10/5/2026 16:16:04</t>
  </si>
  <si>
    <t>Открыта главная страница Kinopoisk https://www.kinopoisk.ru/</t>
  </si>
  <si>
    <t>Авторизация пользователя не требуется.</t>
  </si>
  <si>
    <t>Ввести в поисковую строку значение “Интер”</t>
  </si>
  <si>
    <t>В поисковой строке отображается введённое значение “Интер”</t>
  </si>
  <si>
    <t>Найти среди результатов фильм “Интерстеллар”</t>
  </si>
  <si>
    <t>В результатах отображается фильм “Интерстеллар” или другие релевантные результаты, соответствующие поисковому запросу.</t>
  </si>
  <si>
    <t>96</t>
  </si>
  <si>
    <t>10/5/2026 16:31:36</t>
  </si>
  <si>
    <t>Открыта страница результатов поиска Kinopoisk.</t>
  </si>
  <si>
    <t>В результатах поиска отображается фильм “Интерстеллар”.</t>
  </si>
  <si>
    <t>Авторизация пользователя не требуется для выполнения сценария.</t>
  </si>
  <si>
    <t>Найти фильм “Интерстеллар” в результатах поиска</t>
  </si>
  <si>
    <t>Фильм отображается в списке результатов.</t>
  </si>
  <si>
    <t>Нажать на название или карточку фильма</t>
  </si>
  <si>
    <t>Система открывает страницу выбранного фильма.</t>
  </si>
  <si>
    <t>Проверить заголовок открывшейся страницы</t>
  </si>
  <si>
    <t>Отображается карточка фильма “Интерстеллар”.</t>
  </si>
  <si>
    <t>Проверить загрузку основной информации</t>
  </si>
  <si>
    <t>Отображается основная информация о фильме, например год выпуска и рейтинг, если они доступны в интерфейсе.</t>
  </si>
  <si>
    <t>97</t>
  </si>
  <si>
    <t>10/5/2026 16:42:57</t>
  </si>
  <si>
    <t>Открыта карточка фильма “Интерстеллар”.</t>
  </si>
  <si>
    <t>Страница фильма полностью загружена.</t>
  </si>
  <si>
    <t>Проверить название фильма</t>
  </si>
  <si>
    <t>Отображается название “Интерстеллар”.</t>
  </si>
  <si>
    <t>Проверить год выпуска</t>
  </si>
  <si>
    <t>На странице отображается год выпуска фильма.</t>
  </si>
  <si>
    <t>Проверить рейтинг фильма</t>
  </si>
  <si>
    <t>На странице отображается рейтинг фильма.</t>
  </si>
  <si>
    <t>Проверить информацию о жанрах и описании</t>
  </si>
  <si>
    <t>Отображаются жанры и описание фильма.</t>
  </si>
  <si>
    <t>Проверить постер фильма</t>
  </si>
  <si>
    <t>На странице отображается постер фильма.</t>
  </si>
  <si>
    <t>98</t>
  </si>
  <si>
    <t>Средний</t>
  </si>
  <si>
    <t>10/5/2026 16:51:29</t>
  </si>
  <si>
    <t>Открыт каталог фильмов Kinopoisk.</t>
  </si>
  <si>
    <t>Пользователю доступны параметры фильтрации.</t>
  </si>
  <si>
    <t>Открыты параметры фильтрации</t>
  </si>
  <si>
    <t>Отображаются доступные параметры фильтрации.</t>
  </si>
  <si>
    <t>Выбрать год выпуска “2014”</t>
  </si>
  <si>
    <t>В параметрах фильтрации отображается выбранный год “2014”.</t>
  </si>
  <si>
    <t>Применить фильтр</t>
  </si>
  <si>
    <t>Система применяет выбранный фильтр и обновляет результаты.</t>
  </si>
  <si>
    <t>Просмотреть результаты</t>
  </si>
  <si>
    <t>В результатах отображаются фильмы, соответствующие выбранному году выпуска.</t>
  </si>
  <si>
    <t>99</t>
  </si>
  <si>
    <t>10/5/2026 16:59:42</t>
  </si>
  <si>
    <t>Открыть параметры фильтрации</t>
  </si>
  <si>
    <t>Выбрать диапазон рейтинга “7-10”</t>
  </si>
  <si>
    <t>В параметрах фильтрации отображается выбранный диапазон рейтинга.</t>
  </si>
  <si>
    <t>В результатах отображаются фильмы, соответствующие выбранному диапазону рейтинга.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</si>
</sst>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" totalsRowShown="0">
  <autoFilter ref="A1:Q50"/>
  <tableColumns count="17">
    <tableColumn id="1" name="ID"/>
    <tableColumn id="2" name="Расположение"/>
    <tableColumn id="3" name="Наименование"/>
    <tableColumn id="4" name="Автоматизирован"/>
    <tableColumn id="5" name="Предусловия"/>
    <tableColumn id="6" name="Шаги"/>
    <tableColumn id="7" name="Постусловия"/>
    <tableColumn id="8" name="Ожидаемый результат"/>
    <tableColumn id="9" name="Тестовые данные"/>
    <tableColumn id="10" name="Комментарии"/>
    <tableColumn id="11" name="Итерации"/>
    <tableColumn id="12" name="Приоритет"/>
    <tableColumn id="13" name="Статус"/>
    <tableColumn id="14" name="Дата создания"/>
    <tableColumn id="15" name="Автор"/>
    <tableColumn id="16" name="Длительность"/>
    <tableColumn id="17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/>
  </sheetViews>
  <sheetFormatPr defaultColWidth="9.1796875" defaultRowHeight="14.5" x14ac:dyDescent="0.35"/>
  <cols>
    <col min="1" max="1" width="10.7265625" style="1" customWidth="1"/>
    <col min="2" max="3" width="50.7265625" style="2" customWidth="1"/>
    <col min="4" max="4" width="20.08984375" style="1" customWidth="1"/>
    <col min="5" max="6" width="50.7265625" style="1" customWidth="1"/>
    <col min="7" max="7" width="15.08984375" style="1" customWidth="1"/>
    <col min="8" max="8" width="50.7265625" style="1" customWidth="1"/>
    <col min="9" max="9" width="19.7265625" style="1" customWidth="1"/>
    <col min="10" max="10" width="16.453125" style="1" customWidth="1"/>
    <col min="11" max="11" width="12.26953125" style="1" customWidth="1"/>
    <col min="12" max="12" width="13.26953125" style="1" customWidth="1"/>
    <col min="13" max="13" width="10.7265625" style="1" customWidth="1"/>
    <col min="14" max="14" width="18.08984375" style="1" customWidth="1"/>
    <col min="15" max="15" width="19" style="1" customWidth="1"/>
    <col min="16" max="16" width="16.08984375" style="1" customWidth="1"/>
    <col min="17" max="17" width="10.7265625" style="1" customWidth="1"/>
    <col min="18" max="18" width="9.1796875" style="1" customWidth="1"/>
    <col min="19" max="16384" width="9.1796875" style="1"/>
  </cols>
  <sheetData>
    <row r="1" spans="1:17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x14ac:dyDescent="0.35">
      <c r="A2" s="1" t="s">
        <v>17</v>
      </c>
      <c r="B2" s="2" t="s">
        <v>18</v>
      </c>
      <c r="C2" s="2" t="str">
        <f>HYPERLINK("https://team-261i.testit.software/projects/1/tests/94", "КР-UI-001 - Поиск фильма по полному названию")</f>
        <v>КР-UI-001 - Поиск фильма по полному названию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 x14ac:dyDescent="0.35">
      <c r="A3" s="1" t="s">
        <v>20</v>
      </c>
      <c r="B3" s="2" t="s">
        <v>20</v>
      </c>
      <c r="C3" s="2" t="s">
        <v>20</v>
      </c>
      <c r="D3" s="1" t="s">
        <v>20</v>
      </c>
      <c r="E3" s="1" t="s">
        <v>26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35">
      <c r="A4" s="1" t="s">
        <v>20</v>
      </c>
      <c r="B4" s="2" t="s">
        <v>20</v>
      </c>
      <c r="C4" s="2" t="s">
        <v>20</v>
      </c>
      <c r="D4" s="1" t="s">
        <v>20</v>
      </c>
      <c r="E4" s="1" t="s">
        <v>27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35">
      <c r="A5" s="1" t="s">
        <v>20</v>
      </c>
      <c r="B5" s="2" t="s">
        <v>20</v>
      </c>
      <c r="C5" s="2" t="s">
        <v>20</v>
      </c>
      <c r="D5" s="1" t="s">
        <v>20</v>
      </c>
      <c r="E5" s="1" t="s">
        <v>28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35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29</v>
      </c>
      <c r="G6" s="1" t="s">
        <v>20</v>
      </c>
      <c r="H6" s="1" t="s">
        <v>30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35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31</v>
      </c>
      <c r="G7" s="1" t="s">
        <v>20</v>
      </c>
      <c r="H7" s="1" t="s">
        <v>32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35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33</v>
      </c>
      <c r="G8" s="1" t="s">
        <v>20</v>
      </c>
      <c r="H8" s="1" t="s">
        <v>34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 x14ac:dyDescent="0.35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35</v>
      </c>
      <c r="G9" s="1" t="s">
        <v>20</v>
      </c>
      <c r="H9" s="1" t="s">
        <v>36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ht="29" x14ac:dyDescent="0.35">
      <c r="A10" s="1" t="s">
        <v>37</v>
      </c>
      <c r="B10" s="2" t="s">
        <v>18</v>
      </c>
      <c r="C10" s="2" t="str">
        <f>HYPERLINK("https://team-261i.testit.software/projects/1/tests/95", "КР-UI-002 - Поиск фильма по части названия.")</f>
        <v>КР-UI-002 - Поиск фильма по части названия.</v>
      </c>
      <c r="D10" s="1" t="s">
        <v>19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21</v>
      </c>
      <c r="M10" s="1" t="s">
        <v>22</v>
      </c>
      <c r="N10" s="1" t="s">
        <v>38</v>
      </c>
      <c r="O10" s="1" t="s">
        <v>24</v>
      </c>
      <c r="P10" s="1" t="s">
        <v>25</v>
      </c>
      <c r="Q10" s="1" t="s">
        <v>20</v>
      </c>
    </row>
    <row r="11" spans="1:17" x14ac:dyDescent="0.35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39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35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27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x14ac:dyDescent="0.35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40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x14ac:dyDescent="0.35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20</v>
      </c>
      <c r="F14" s="1" t="s">
        <v>29</v>
      </c>
      <c r="G14" s="1" t="s">
        <v>20</v>
      </c>
      <c r="H14" s="1" t="s">
        <v>30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 x14ac:dyDescent="0.35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20</v>
      </c>
      <c r="F15" s="1" t="s">
        <v>41</v>
      </c>
      <c r="G15" s="1" t="s">
        <v>20</v>
      </c>
      <c r="H15" s="1" t="s">
        <v>42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35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20</v>
      </c>
      <c r="F16" s="1" t="s">
        <v>33</v>
      </c>
      <c r="G16" s="1" t="s">
        <v>20</v>
      </c>
      <c r="H16" s="1" t="s">
        <v>34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35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43</v>
      </c>
      <c r="G17" s="1" t="s">
        <v>20</v>
      </c>
      <c r="H17" s="1" t="s">
        <v>44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ht="29" x14ac:dyDescent="0.35">
      <c r="A18" s="1" t="s">
        <v>45</v>
      </c>
      <c r="B18" s="2" t="s">
        <v>18</v>
      </c>
      <c r="C18" s="2" t="str">
        <f>HYPERLINK("https://team-261i.testit.software/projects/1/tests/96", "КР-UI-003 - Открытие карточки фильма из результатов поиска")</f>
        <v>КР-UI-003 - Открытие карточки фильма из результатов поиска</v>
      </c>
      <c r="D18" s="1" t="s">
        <v>19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21</v>
      </c>
      <c r="M18" s="1" t="s">
        <v>22</v>
      </c>
      <c r="N18" s="1" t="s">
        <v>46</v>
      </c>
      <c r="O18" s="1" t="s">
        <v>24</v>
      </c>
      <c r="P18" s="1" t="s">
        <v>25</v>
      </c>
      <c r="Q18" s="1" t="s">
        <v>20</v>
      </c>
    </row>
    <row r="19" spans="1:17" x14ac:dyDescent="0.35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47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35">
      <c r="A20" s="1" t="s">
        <v>20</v>
      </c>
      <c r="B20" s="2" t="s">
        <v>20</v>
      </c>
      <c r="C20" s="2" t="s">
        <v>20</v>
      </c>
      <c r="D20" s="1" t="s">
        <v>20</v>
      </c>
      <c r="E20" s="1" t="s">
        <v>48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</row>
    <row r="21" spans="1:17" x14ac:dyDescent="0.35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49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35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50</v>
      </c>
      <c r="G22" s="1" t="s">
        <v>20</v>
      </c>
      <c r="H22" s="1" t="s">
        <v>51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35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52</v>
      </c>
      <c r="G23" s="1" t="s">
        <v>20</v>
      </c>
      <c r="H23" s="1" t="s">
        <v>53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35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54</v>
      </c>
      <c r="G24" s="1" t="s">
        <v>20</v>
      </c>
      <c r="H24" s="1" t="s">
        <v>55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35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20</v>
      </c>
      <c r="F25" s="1" t="s">
        <v>56</v>
      </c>
      <c r="G25" s="1" t="s">
        <v>20</v>
      </c>
      <c r="H25" s="1" t="s">
        <v>57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ht="29" x14ac:dyDescent="0.35">
      <c r="A26" s="1" t="s">
        <v>58</v>
      </c>
      <c r="B26" s="2" t="s">
        <v>18</v>
      </c>
      <c r="C26" s="2" t="str">
        <f>HYPERLINK("https://team-261i.testit.software/projects/1/tests/97", "КР-UI-004 - Отображение основной информации на карточке фильма")</f>
        <v>КР-UI-004 - Отображение основной информации на карточке фильма</v>
      </c>
      <c r="D26" s="1" t="s">
        <v>19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21</v>
      </c>
      <c r="M26" s="1" t="s">
        <v>22</v>
      </c>
      <c r="N26" s="1" t="s">
        <v>59</v>
      </c>
      <c r="O26" s="1" t="s">
        <v>24</v>
      </c>
      <c r="P26" s="1" t="s">
        <v>25</v>
      </c>
      <c r="Q26" s="1" t="s">
        <v>20</v>
      </c>
    </row>
    <row r="27" spans="1:17" x14ac:dyDescent="0.35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60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35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61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35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40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 x14ac:dyDescent="0.35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62</v>
      </c>
      <c r="G30" s="1" t="s">
        <v>20</v>
      </c>
      <c r="H30" s="1" t="s">
        <v>63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35">
      <c r="A31" s="1" t="s">
        <v>20</v>
      </c>
      <c r="B31" s="2" t="s">
        <v>20</v>
      </c>
      <c r="C31" s="2" t="s">
        <v>20</v>
      </c>
      <c r="D31" s="1" t="s">
        <v>20</v>
      </c>
      <c r="E31" s="1" t="s">
        <v>20</v>
      </c>
      <c r="F31" s="1" t="s">
        <v>64</v>
      </c>
      <c r="G31" s="1" t="s">
        <v>20</v>
      </c>
      <c r="H31" s="1" t="s">
        <v>65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35">
      <c r="A32" s="1" t="s">
        <v>20</v>
      </c>
      <c r="B32" s="2" t="s">
        <v>20</v>
      </c>
      <c r="C32" s="2" t="s">
        <v>20</v>
      </c>
      <c r="D32" s="1" t="s">
        <v>20</v>
      </c>
      <c r="E32" s="1" t="s">
        <v>20</v>
      </c>
      <c r="F32" s="1" t="s">
        <v>66</v>
      </c>
      <c r="G32" s="1" t="s">
        <v>20</v>
      </c>
      <c r="H32" s="1" t="s">
        <v>67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</row>
    <row r="33" spans="1:17" x14ac:dyDescent="0.35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20</v>
      </c>
      <c r="F33" s="1" t="s">
        <v>68</v>
      </c>
      <c r="G33" s="1" t="s">
        <v>20</v>
      </c>
      <c r="H33" s="1" t="s">
        <v>69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35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20</v>
      </c>
      <c r="F34" s="1" t="s">
        <v>70</v>
      </c>
      <c r="G34" s="1" t="s">
        <v>20</v>
      </c>
      <c r="H34" s="1" t="s">
        <v>71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ht="29" x14ac:dyDescent="0.35">
      <c r="A35" s="1" t="s">
        <v>72</v>
      </c>
      <c r="B35" s="2" t="s">
        <v>18</v>
      </c>
      <c r="C35" s="2" t="str">
        <f>HYPERLINK("https://team-261i.testit.software/projects/1/tests/98", "КР-UI-005 - Фильтрация фильмов по году выпуска")</f>
        <v>КР-UI-005 - Фильтрация фильмов по году выпуска</v>
      </c>
      <c r="D35" s="1" t="s">
        <v>19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73</v>
      </c>
      <c r="M35" s="1" t="s">
        <v>22</v>
      </c>
      <c r="N35" s="1" t="s">
        <v>74</v>
      </c>
      <c r="O35" s="1" t="s">
        <v>24</v>
      </c>
      <c r="P35" s="1" t="s">
        <v>25</v>
      </c>
      <c r="Q35" s="1" t="s">
        <v>20</v>
      </c>
    </row>
    <row r="36" spans="1:17" x14ac:dyDescent="0.35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75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35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76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  <row r="38" spans="1:17" x14ac:dyDescent="0.35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40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</row>
    <row r="39" spans="1:17" x14ac:dyDescent="0.35">
      <c r="A39" s="1" t="s">
        <v>20</v>
      </c>
      <c r="B39" s="2" t="s">
        <v>20</v>
      </c>
      <c r="C39" s="2" t="s">
        <v>20</v>
      </c>
      <c r="D39" s="1" t="s">
        <v>20</v>
      </c>
      <c r="E39" s="1" t="s">
        <v>20</v>
      </c>
      <c r="F39" s="1" t="s">
        <v>77</v>
      </c>
      <c r="G39" s="1" t="s">
        <v>20</v>
      </c>
      <c r="H39" s="1" t="s">
        <v>78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35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20</v>
      </c>
      <c r="F40" s="1" t="s">
        <v>79</v>
      </c>
      <c r="G40" s="1" t="s">
        <v>20</v>
      </c>
      <c r="H40" s="1" t="s">
        <v>80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</row>
    <row r="41" spans="1:17" x14ac:dyDescent="0.35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20</v>
      </c>
      <c r="F41" s="1" t="s">
        <v>81</v>
      </c>
      <c r="G41" s="1" t="s">
        <v>20</v>
      </c>
      <c r="H41" s="1" t="s">
        <v>82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35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83</v>
      </c>
      <c r="G42" s="1" t="s">
        <v>20</v>
      </c>
      <c r="H42" s="1" t="s">
        <v>84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ht="29" x14ac:dyDescent="0.35">
      <c r="A43" s="1" t="s">
        <v>85</v>
      </c>
      <c r="B43" s="2" t="s">
        <v>18</v>
      </c>
      <c r="C43" s="2" t="str">
        <f>HYPERLINK("https://team-261i.testit.software/projects/1/tests/99", "КР-UI-006 - Фильтрация фильмов по рейтингу")</f>
        <v>КР-UI-006 - Фильтрация фильмов по рейтингу</v>
      </c>
      <c r="D43" s="1" t="s">
        <v>19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73</v>
      </c>
      <c r="M43" s="1" t="s">
        <v>22</v>
      </c>
      <c r="N43" s="1" t="s">
        <v>86</v>
      </c>
      <c r="O43" s="1" t="s">
        <v>24</v>
      </c>
      <c r="P43" s="1" t="s">
        <v>25</v>
      </c>
      <c r="Q43" s="1" t="s">
        <v>20</v>
      </c>
    </row>
    <row r="44" spans="1:17" x14ac:dyDescent="0.35">
      <c r="A44" s="1" t="s">
        <v>20</v>
      </c>
      <c r="B44" s="2" t="s">
        <v>20</v>
      </c>
      <c r="C44" s="2" t="s">
        <v>20</v>
      </c>
      <c r="D44" s="1" t="s">
        <v>20</v>
      </c>
      <c r="E44" s="1" t="s">
        <v>75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</row>
    <row r="45" spans="1:17" x14ac:dyDescent="0.35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76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35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40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35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87</v>
      </c>
      <c r="G47" s="1" t="s">
        <v>20</v>
      </c>
      <c r="H47" s="1" t="s">
        <v>78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35">
      <c r="A48" s="1" t="s">
        <v>20</v>
      </c>
      <c r="B48" s="2" t="s">
        <v>20</v>
      </c>
      <c r="C48" s="2" t="s">
        <v>20</v>
      </c>
      <c r="D48" s="1" t="s">
        <v>20</v>
      </c>
      <c r="E48" s="1" t="s">
        <v>20</v>
      </c>
      <c r="F48" s="1" t="s">
        <v>88</v>
      </c>
      <c r="G48" s="1" t="s">
        <v>20</v>
      </c>
      <c r="H48" s="1" t="s">
        <v>89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</row>
    <row r="49" spans="1:17" x14ac:dyDescent="0.35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20</v>
      </c>
      <c r="F49" s="1" t="s">
        <v>81</v>
      </c>
      <c r="G49" s="1" t="s">
        <v>20</v>
      </c>
      <c r="H49" s="1" t="s">
        <v>82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x14ac:dyDescent="0.35">
      <c r="A50" s="1" t="s">
        <v>20</v>
      </c>
      <c r="B50" s="2" t="s">
        <v>20</v>
      </c>
      <c r="C50" s="2" t="s">
        <v>20</v>
      </c>
      <c r="D50" s="1" t="s">
        <v>20</v>
      </c>
      <c r="E50" s="1" t="s">
        <v>20</v>
      </c>
      <c r="F50" s="1" t="s">
        <v>83</v>
      </c>
      <c r="G50" s="1" t="s">
        <v>20</v>
      </c>
      <c r="H50" s="1" t="s">
        <v>90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Project_Первый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2026-10-18T12:30:32Z</dcterms:created>
  <dcterms:modified xsi:type="dcterms:W3CDTF">2026-10-18T12:33:35Z</dcterms:modified>
</cp:coreProperties>
</file>