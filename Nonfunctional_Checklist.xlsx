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450" yWindow="570" windowWidth="15040" windowHeight="6240"/>
  </bookViews>
  <sheets>
    <sheet name="Project_Первый" sheetId="1" r:id="rId1"/>
  </sheets>
  <calcPr calcId="144525"/>
</workbook>
</file>

<file path=xl/calcChain.xml><?xml version="1.0" encoding="utf-8"?>
<calcChain xmlns="http://schemas.openxmlformats.org/spreadsheetml/2006/main">
  <c r="C2" i="1" l="1"/>
  <c r="C8" i="1"/>
  <c r="C14" i="1"/>
  <c r="C20" i="1"/>
  <c r="C26" i="1"/>
  <c r="C32" i="1"/>
  <c r="C38" i="1"/>
  <c r="C44" i="1"/>
  <c r="C50" i="1"/>
  <c r="C57" i="1"/>
</calcChain>
</file>

<file path=xl/sharedStrings.xml><?xml version="1.0" encoding="utf-8"?>
<sst xmlns="http://schemas.openxmlformats.org/spreadsheetml/2006/main" count="1061" uniqueCount="89">
  <si>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</si>
  <si>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</si>
  <si>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</si>
  <si>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</si>
  <si>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</si>
  <si>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</si>
  <si>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</si>
  <si>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</si>
  <si>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</si>
  <si>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</si>
  <si>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</si>
  <si>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</si>
  <si>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</si>
  <si>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</si>
  <si>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</si>
  <si>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</si>
  <si>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</si>
  <si>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100</t>
  </si>
  <si>
    <t>Первый -&gt; Дипломный проект -&gt; 02. Нефункциональное тестирование</t>
  </si>
  <si>
    <t>Нет</t>
  </si>
  <si>
    <t/>
  </si>
  <si>
    <t>Средний</t>
  </si>
  <si>
    <t>Готов</t>
  </si>
  <si>
    <t>10/5/2026 17:22:13</t>
  </si>
  <si>
    <t>Сергей Колесников</t>
  </si>
  <si>
    <t>0h 10m 0s</t>
  </si>
  <si>
    <t>Открыть главную страницу Kinopoisk ➔ Главная страница успешно отображается.</t>
  </si>
  <si>
    <t>Проверить наличие логотипа ➔ Логотип отображается корректно.</t>
  </si>
  <si>
    <t>Проверить наличие поисковой строки ➔ Поисковая строка отображается и доступна для взаимодействия.</t>
  </si>
  <si>
    <t>Проверить основные элементы навигации ➔ Элементы навигации отображаются корректно и не перекрываются.</t>
  </si>
  <si>
    <t>Проверить отображение основных кнопок и блоков контента ➔ Элементы отображатся полностью и не выходят за границы предназначенных областей.</t>
  </si>
  <si>
    <t>101</t>
  </si>
  <si>
    <t>10/5/2026 17:28:28</t>
  </si>
  <si>
    <t>Открыть главную страницу Kinopoisk ➔ Текстовая информация отображается без визуальных искажений.</t>
  </si>
  <si>
    <t>Открыть страницу результатов поиска ➔ Название фильмов и текстовые элементы отображаются полностью.</t>
  </si>
  <si>
    <t>Открыть карточку фильма ➔ заголовок и основная информация отображаются полностью.</t>
  </si>
  <si>
    <t>Проверить размер и расположения текста ➔ Текст не накладывается на другие элементы интерфейса.</t>
  </si>
  <si>
    <t>Проверить длинные текстовые блоки ➔ Текст не обрезается и остается читаемым.</t>
  </si>
  <si>
    <t>102</t>
  </si>
  <si>
    <t>10/5/2026 17:35:56</t>
  </si>
  <si>
    <t>Открыть страницу результатов поиска ➔ изображение фильмов отображается</t>
  </si>
  <si>
    <t>Проверить постер фильма “Интерстеллар” ➔ постер загружается без визуальных артефактов.</t>
  </si>
  <si>
    <t>Открыть карточку фильма ➔ основной постер отображается корректно.</t>
  </si>
  <si>
    <t>Проверить пропорции изображений ➔ изображения не выглядят растянутыми или сжатыми.</t>
  </si>
  <si>
    <t>Проверить расположение изображений ➔ изображения не перекрывают текст и другие элементы интерфейса.</t>
  </si>
  <si>
    <t>103</t>
  </si>
  <si>
    <t>10/5/2026 17:41:56</t>
  </si>
  <si>
    <t>Открыть главную страницу Kinopoisk ➔ главная страница отображается корректно.</t>
  </si>
  <si>
    <t>Выполнить поиск фильма ➔ пользователь переходит на страницу результатов поиска.</t>
  </si>
  <si>
    <t>Открыть карточку фильма из результатов ➔ открывается соответствующая карточка фильма.</t>
  </si>
  <si>
    <t>Вернуться на предыдущую страницу ➔ пользователь возвращается к результатам поиска.</t>
  </si>
  <si>
    <t>Проверить основные элементы навигации ➔ элементы навигации понятны и позволяют перейти к доступным разделам.</t>
  </si>
  <si>
    <t>104</t>
  </si>
  <si>
    <t>Высокий</t>
  </si>
  <si>
    <t>10/5/2026 17:49:02</t>
  </si>
  <si>
    <t>Открыть Kinopoisk в Google Chrome ➔ сайт загружается корректно.</t>
  </si>
  <si>
    <t>Открыть главную страницу ➔ основные элементы интерфейса отображаются корректно.</t>
  </si>
  <si>
    <t>Выполнить поиск “Интерстеллар” ➔ результаты поиска отображаются корректно.</t>
  </si>
  <si>
    <t>Открыть карточку фильма ➔ карточка фильма открывается без визуальных ошибок.</t>
  </si>
  <si>
    <t>Проверить основные элементы интерфейса ➔ элементы не перекрываются и доступны для взаимодействия.</t>
  </si>
  <si>
    <t>105</t>
  </si>
  <si>
    <t>10/5/2026 17:55:23</t>
  </si>
  <si>
    <t>Открыть Kinopoisk в Mozilla Firefox ➔ сайт загружается корректно.</t>
  </si>
  <si>
    <t>106</t>
  </si>
  <si>
    <t>10/5/2026 18:02:39</t>
  </si>
  <si>
    <t>Открыть Kinopoisk в Microsoft Edge ➔ сайт загружается корректно.</t>
  </si>
  <si>
    <t>107</t>
  </si>
  <si>
    <t>10/5/2026 18:09:13</t>
  </si>
  <si>
    <t>Открыть главную страницу Kinopoisk ➔ страница доступна для взаимодействия.</t>
  </si>
  <si>
    <t>Нажимать клавишу Tab ➔ фокус перемещается между интерактивными элементами.</t>
  </si>
  <si>
    <t>Перейти к поисковой строке с помощью клавиатуры ➔ поисковая строка получает фокус.</t>
  </si>
  <si>
    <t>Перейти к кнопкам и ссылкам ➔ интерактивные элементы получают видимый фокус.</t>
  </si>
  <si>
    <t>Активировать доступный элемент с клавиатуры ➔ элемент выполняет соответствующее действие.</t>
  </si>
  <si>
    <t>108</t>
  </si>
  <si>
    <t>10/5/2026 18:16:26</t>
  </si>
  <si>
    <t>Открыть Kinopoisk в браузере.</t>
  </si>
  <si>
    <t>Установить размер области просмотра, соответствующий мобильному устройству ➔ интерфейс адаптируется под ширину экрана.</t>
  </si>
  <si>
    <t>Открыть главную страницу ➔ интерфейс отображается без критических перекрытий.</t>
  </si>
  <si>
    <t>Выполнить поиск “Интерстеллар” ➔ поисковая строка и результаты отображаются корректно.</t>
  </si>
  <si>
    <t>Открыть карточку фильма ➔ содержимое карточки доступно для просмотра.</t>
  </si>
  <si>
    <t>Проверить горизонтальную прокрутку ➔ отсутствует непредвиденная горизонтальная прокрутка.</t>
  </si>
  <si>
    <t>109</t>
  </si>
  <si>
    <t>10/5/2026 18:24:15</t>
  </si>
  <si>
    <t>Открыть главную страницу Kinopoisk ➔ страница отображается без критических  визуальных ошибок.</t>
  </si>
  <si>
    <t>Открыть страницу результатов поиска ➔ элементы страницы отображаются.</t>
  </si>
  <si>
    <t>Открыть карточку фильма ➔ содержимое страницы отображается корректно.</t>
  </si>
  <si>
    <t>Проверить расположение элементов ➔ элементы интерфейса не перекрывают друг друга.</t>
  </si>
  <si>
    <t>Проверить границы экрана ➔ элементы не выходят за пределы доступной области просмотра.</t>
  </si>
  <si>
    <t>Проверить наличие визуальных артефактов ➔ отсутствуют критические дефекты отображения.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</si>
</sst>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63" totalsRowShown="0">
  <autoFilter ref="A1:Q63"/>
  <tableColumns count="17">
    <tableColumn id="1" name="ID"/>
    <tableColumn id="2" name="Расположение"/>
    <tableColumn id="3" name="Наименование"/>
    <tableColumn id="4" name="Автоматизирован"/>
    <tableColumn id="5" name="Предусловия"/>
    <tableColumn id="6" name="Шаги"/>
    <tableColumn id="7" name="Постусловия"/>
    <tableColumn id="8" name="Ожидаемый результат"/>
    <tableColumn id="9" name="Тестовые данные"/>
    <tableColumn id="10" name="Комментарии"/>
    <tableColumn id="11" name="Итерации"/>
    <tableColumn id="12" name="Приоритет"/>
    <tableColumn id="13" name="Статус"/>
    <tableColumn id="14" name="Дата создания"/>
    <tableColumn id="15" name="Автор"/>
    <tableColumn id="16" name="Длительность"/>
    <tableColumn id="17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workbookViewId="0"/>
  </sheetViews>
  <sheetFormatPr defaultColWidth="9.1796875" defaultRowHeight="14.5" x14ac:dyDescent="0.35"/>
  <cols>
    <col min="1" max="1" width="10.7265625" style="1" customWidth="1"/>
    <col min="2" max="3" width="50.7265625" style="2" customWidth="1"/>
    <col min="4" max="4" width="20.08984375" style="1" customWidth="1"/>
    <col min="5" max="5" width="15.54296875" style="1" customWidth="1"/>
    <col min="6" max="6" width="50.7265625" style="1" customWidth="1"/>
    <col min="7" max="7" width="15.08984375" style="1" customWidth="1"/>
    <col min="8" max="8" width="24.7265625" style="1" customWidth="1"/>
    <col min="9" max="9" width="19.7265625" style="1" customWidth="1"/>
    <col min="10" max="10" width="16.453125" style="1" customWidth="1"/>
    <col min="11" max="11" width="12.26953125" style="1" customWidth="1"/>
    <col min="12" max="12" width="13.26953125" style="1" customWidth="1"/>
    <col min="13" max="13" width="10.7265625" style="1" customWidth="1"/>
    <col min="14" max="14" width="18.08984375" style="1" customWidth="1"/>
    <col min="15" max="15" width="19" style="1" customWidth="1"/>
    <col min="16" max="16" width="16.08984375" style="1" customWidth="1"/>
    <col min="17" max="17" width="10.7265625" style="1" customWidth="1"/>
    <col min="18" max="18" width="9.1796875" style="1" customWidth="1"/>
    <col min="19" max="16384" width="9.1796875" style="1"/>
  </cols>
  <sheetData>
    <row r="1" spans="1:17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" x14ac:dyDescent="0.35">
      <c r="A2" s="1" t="s">
        <v>17</v>
      </c>
      <c r="B2" s="2" t="s">
        <v>18</v>
      </c>
      <c r="C2" s="2" t="str">
        <f>HYPERLINK("https://team-261i.testit.software/projects/1/tests/100", "NFR-001 - Отображение основных элементов интерфейса")</f>
        <v>NFR-001 - Отображение основных элементов интерфейса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 x14ac:dyDescent="0.35">
      <c r="A3" s="1" t="s">
        <v>20</v>
      </c>
      <c r="B3" s="2" t="s">
        <v>20</v>
      </c>
      <c r="C3" s="2" t="s">
        <v>20</v>
      </c>
      <c r="D3" s="1" t="s">
        <v>20</v>
      </c>
      <c r="E3" s="1" t="s">
        <v>20</v>
      </c>
      <c r="F3" s="1" t="s">
        <v>26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35">
      <c r="A4" s="1" t="s">
        <v>20</v>
      </c>
      <c r="B4" s="2" t="s">
        <v>20</v>
      </c>
      <c r="C4" s="2" t="s">
        <v>20</v>
      </c>
      <c r="D4" s="1" t="s">
        <v>20</v>
      </c>
      <c r="E4" s="1" t="s">
        <v>20</v>
      </c>
      <c r="F4" s="1" t="s">
        <v>27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35">
      <c r="A5" s="1" t="s">
        <v>20</v>
      </c>
      <c r="B5" s="2" t="s">
        <v>20</v>
      </c>
      <c r="C5" s="2" t="s">
        <v>20</v>
      </c>
      <c r="D5" s="1" t="s">
        <v>20</v>
      </c>
      <c r="E5" s="1" t="s">
        <v>20</v>
      </c>
      <c r="F5" s="1" t="s">
        <v>28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 x14ac:dyDescent="0.35">
      <c r="A6" s="1" t="s">
        <v>20</v>
      </c>
      <c r="B6" s="2" t="s">
        <v>20</v>
      </c>
      <c r="C6" s="2" t="s">
        <v>20</v>
      </c>
      <c r="D6" s="1" t="s">
        <v>20</v>
      </c>
      <c r="E6" s="1" t="s">
        <v>20</v>
      </c>
      <c r="F6" s="1" t="s">
        <v>29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x14ac:dyDescent="0.35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ht="29" x14ac:dyDescent="0.35">
      <c r="A8" s="1" t="s">
        <v>31</v>
      </c>
      <c r="B8" s="2" t="s">
        <v>18</v>
      </c>
      <c r="C8" s="2" t="str">
        <f>HYPERLINK("https://team-261i.testit.software/projects/1/tests/101", "NFR-002 - Читаемость текстовой информации")</f>
        <v>NFR-002 - Читаемость текстовой информации</v>
      </c>
      <c r="D8" s="1" t="s">
        <v>19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21</v>
      </c>
      <c r="M8" s="1" t="s">
        <v>22</v>
      </c>
      <c r="N8" s="1" t="s">
        <v>32</v>
      </c>
      <c r="O8" s="1" t="s">
        <v>24</v>
      </c>
      <c r="P8" s="1" t="s">
        <v>25</v>
      </c>
      <c r="Q8" s="1" t="s">
        <v>20</v>
      </c>
    </row>
    <row r="9" spans="1:17" x14ac:dyDescent="0.35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33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x14ac:dyDescent="0.35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34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35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35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35">
      <c r="A12" s="1" t="s">
        <v>20</v>
      </c>
      <c r="B12" s="2" t="s">
        <v>20</v>
      </c>
      <c r="C12" s="2" t="s">
        <v>20</v>
      </c>
      <c r="D12" s="1" t="s">
        <v>20</v>
      </c>
      <c r="E12" s="1" t="s">
        <v>20</v>
      </c>
      <c r="F12" s="1" t="s">
        <v>36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20</v>
      </c>
      <c r="Q12" s="1" t="s">
        <v>20</v>
      </c>
    </row>
    <row r="13" spans="1:17" x14ac:dyDescent="0.35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20</v>
      </c>
      <c r="F13" s="1" t="s">
        <v>37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ht="29" x14ac:dyDescent="0.35">
      <c r="A14" s="1" t="s">
        <v>38</v>
      </c>
      <c r="B14" s="2" t="s">
        <v>18</v>
      </c>
      <c r="C14" s="2" t="str">
        <f>HYPERLINK("https://team-261i.testit.software/projects/1/tests/102", "NFR-003 - Отображение изображений")</f>
        <v>NFR-003 - Отображение изображений</v>
      </c>
      <c r="D14" s="1" t="s">
        <v>19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21</v>
      </c>
      <c r="M14" s="1" t="s">
        <v>22</v>
      </c>
      <c r="N14" s="1" t="s">
        <v>39</v>
      </c>
      <c r="O14" s="1" t="s">
        <v>24</v>
      </c>
      <c r="P14" s="1" t="s">
        <v>25</v>
      </c>
      <c r="Q14" s="1" t="s">
        <v>20</v>
      </c>
    </row>
    <row r="15" spans="1:17" x14ac:dyDescent="0.35">
      <c r="A15" s="1" t="s">
        <v>20</v>
      </c>
      <c r="B15" s="2" t="s">
        <v>20</v>
      </c>
      <c r="C15" s="2" t="s">
        <v>20</v>
      </c>
      <c r="D15" s="1" t="s">
        <v>20</v>
      </c>
      <c r="E15" s="1" t="s">
        <v>20</v>
      </c>
      <c r="F15" s="1" t="s">
        <v>40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</row>
    <row r="16" spans="1:17" x14ac:dyDescent="0.35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20</v>
      </c>
      <c r="F16" s="1" t="s">
        <v>41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35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42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 x14ac:dyDescent="0.35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43</v>
      </c>
      <c r="G18" s="1" t="s">
        <v>20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 x14ac:dyDescent="0.35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44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ht="29" x14ac:dyDescent="0.35">
      <c r="A20" s="1" t="s">
        <v>45</v>
      </c>
      <c r="B20" s="2" t="s">
        <v>18</v>
      </c>
      <c r="C20" s="2" t="str">
        <f>HYPERLINK("https://team-261i.testit.software/projects/1/tests/103", "NFR-004 - Удобство навигации")</f>
        <v>NFR-004 - Удобство навигации</v>
      </c>
      <c r="D20" s="1" t="s">
        <v>19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21</v>
      </c>
      <c r="M20" s="1" t="s">
        <v>22</v>
      </c>
      <c r="N20" s="1" t="s">
        <v>46</v>
      </c>
      <c r="O20" s="1" t="s">
        <v>24</v>
      </c>
      <c r="P20" s="1" t="s">
        <v>25</v>
      </c>
      <c r="Q20" s="1" t="s">
        <v>20</v>
      </c>
    </row>
    <row r="21" spans="1:17" x14ac:dyDescent="0.35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20</v>
      </c>
      <c r="F21" s="1" t="s">
        <v>47</v>
      </c>
      <c r="G21" s="1" t="s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35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48</v>
      </c>
      <c r="G22" s="1" t="s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35">
      <c r="A23" s="1" t="s">
        <v>20</v>
      </c>
      <c r="B23" s="2" t="s">
        <v>20</v>
      </c>
      <c r="C23" s="2" t="s">
        <v>20</v>
      </c>
      <c r="D23" s="1" t="s">
        <v>20</v>
      </c>
      <c r="E23" s="1" t="s">
        <v>20</v>
      </c>
      <c r="F23" s="1" t="s">
        <v>49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20</v>
      </c>
      <c r="Q23" s="1" t="s">
        <v>20</v>
      </c>
    </row>
    <row r="24" spans="1:17" x14ac:dyDescent="0.35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20</v>
      </c>
      <c r="F24" s="1" t="s">
        <v>50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x14ac:dyDescent="0.35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20</v>
      </c>
      <c r="F25" s="1" t="s">
        <v>51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ht="29" x14ac:dyDescent="0.35">
      <c r="A26" s="1" t="s">
        <v>52</v>
      </c>
      <c r="B26" s="2" t="s">
        <v>18</v>
      </c>
      <c r="C26" s="2" t="str">
        <f>HYPERLINK("https://team-261i.testit.software/projects/1/tests/104", "NFR-005 - Работа в Google Chrome")</f>
        <v>NFR-005 - Работа в Google Chrome</v>
      </c>
      <c r="D26" s="1" t="s">
        <v>19</v>
      </c>
      <c r="E26" s="1" t="s">
        <v>20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53</v>
      </c>
      <c r="M26" s="1" t="s">
        <v>22</v>
      </c>
      <c r="N26" s="1" t="s">
        <v>54</v>
      </c>
      <c r="O26" s="1" t="s">
        <v>24</v>
      </c>
      <c r="P26" s="1" t="s">
        <v>25</v>
      </c>
      <c r="Q26" s="1" t="s">
        <v>20</v>
      </c>
    </row>
    <row r="27" spans="1:17" x14ac:dyDescent="0.35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20</v>
      </c>
      <c r="F27" s="1" t="s">
        <v>55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35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20</v>
      </c>
      <c r="F28" s="1" t="s">
        <v>56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35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20</v>
      </c>
      <c r="F29" s="1" t="s">
        <v>57</v>
      </c>
      <c r="G29" s="1" t="s">
        <v>20</v>
      </c>
      <c r="H29" s="1" t="s">
        <v>20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</row>
    <row r="30" spans="1:17" x14ac:dyDescent="0.35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58</v>
      </c>
      <c r="G30" s="1" t="s">
        <v>20</v>
      </c>
      <c r="H30" s="1" t="s">
        <v>20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35">
      <c r="A31" s="1" t="s">
        <v>20</v>
      </c>
      <c r="B31" s="2" t="s">
        <v>20</v>
      </c>
      <c r="C31" s="2" t="s">
        <v>20</v>
      </c>
      <c r="D31" s="1" t="s">
        <v>20</v>
      </c>
      <c r="E31" s="1" t="s">
        <v>20</v>
      </c>
      <c r="F31" s="1" t="s">
        <v>59</v>
      </c>
      <c r="G31" s="1" t="s">
        <v>20</v>
      </c>
      <c r="H31" s="1" t="s">
        <v>20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</row>
    <row r="32" spans="1:17" ht="29" x14ac:dyDescent="0.35">
      <c r="A32" s="1" t="s">
        <v>60</v>
      </c>
      <c r="B32" s="2" t="s">
        <v>18</v>
      </c>
      <c r="C32" s="2" t="str">
        <f>HYPERLINK("https://team-261i.testit.software/projects/1/tests/105", "NFR-006 - Работа в Mozilla Firefox")</f>
        <v>NFR-006 - Работа в Mozilla Firefox</v>
      </c>
      <c r="D32" s="1" t="s">
        <v>19</v>
      </c>
      <c r="E32" s="1" t="s">
        <v>20</v>
      </c>
      <c r="F32" s="1" t="s">
        <v>20</v>
      </c>
      <c r="G32" s="1" t="s">
        <v>20</v>
      </c>
      <c r="H32" s="1" t="s">
        <v>20</v>
      </c>
      <c r="I32" s="1" t="s">
        <v>20</v>
      </c>
      <c r="J32" s="1" t="s">
        <v>20</v>
      </c>
      <c r="K32" s="1" t="s">
        <v>20</v>
      </c>
      <c r="L32" s="1" t="s">
        <v>53</v>
      </c>
      <c r="M32" s="1" t="s">
        <v>22</v>
      </c>
      <c r="N32" s="1" t="s">
        <v>61</v>
      </c>
      <c r="O32" s="1" t="s">
        <v>24</v>
      </c>
      <c r="P32" s="1" t="s">
        <v>25</v>
      </c>
      <c r="Q32" s="1" t="s">
        <v>20</v>
      </c>
    </row>
    <row r="33" spans="1:17" x14ac:dyDescent="0.35">
      <c r="A33" s="1" t="s">
        <v>20</v>
      </c>
      <c r="B33" s="2" t="s">
        <v>20</v>
      </c>
      <c r="C33" s="2" t="s">
        <v>20</v>
      </c>
      <c r="D33" s="1" t="s">
        <v>20</v>
      </c>
      <c r="E33" s="1" t="s">
        <v>20</v>
      </c>
      <c r="F33" s="1" t="s">
        <v>62</v>
      </c>
      <c r="G33" s="1" t="s">
        <v>20</v>
      </c>
      <c r="H33" s="1" t="s">
        <v>20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35">
      <c r="A34" s="1" t="s">
        <v>20</v>
      </c>
      <c r="B34" s="2" t="s">
        <v>20</v>
      </c>
      <c r="C34" s="2" t="s">
        <v>20</v>
      </c>
      <c r="D34" s="1" t="s">
        <v>20</v>
      </c>
      <c r="E34" s="1" t="s">
        <v>20</v>
      </c>
      <c r="F34" s="1" t="s">
        <v>56</v>
      </c>
      <c r="G34" s="1" t="s">
        <v>20</v>
      </c>
      <c r="H34" s="1" t="s">
        <v>20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</row>
    <row r="35" spans="1:17" x14ac:dyDescent="0.35">
      <c r="A35" s="1" t="s">
        <v>20</v>
      </c>
      <c r="B35" s="2" t="s">
        <v>20</v>
      </c>
      <c r="C35" s="2" t="s">
        <v>20</v>
      </c>
      <c r="D35" s="1" t="s">
        <v>20</v>
      </c>
      <c r="E35" s="1" t="s">
        <v>20</v>
      </c>
      <c r="F35" s="1" t="s">
        <v>57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20</v>
      </c>
      <c r="Q35" s="1" t="s">
        <v>20</v>
      </c>
    </row>
    <row r="36" spans="1:17" x14ac:dyDescent="0.35">
      <c r="A36" s="1" t="s">
        <v>20</v>
      </c>
      <c r="B36" s="2" t="s">
        <v>20</v>
      </c>
      <c r="C36" s="2" t="s">
        <v>20</v>
      </c>
      <c r="D36" s="1" t="s">
        <v>20</v>
      </c>
      <c r="E36" s="1" t="s">
        <v>20</v>
      </c>
      <c r="F36" s="1" t="s">
        <v>58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35">
      <c r="A37" s="1" t="s">
        <v>20</v>
      </c>
      <c r="B37" s="2" t="s">
        <v>20</v>
      </c>
      <c r="C37" s="2" t="s">
        <v>20</v>
      </c>
      <c r="D37" s="1" t="s">
        <v>20</v>
      </c>
      <c r="E37" s="1" t="s">
        <v>20</v>
      </c>
      <c r="F37" s="1" t="s">
        <v>59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</row>
    <row r="38" spans="1:17" ht="29" x14ac:dyDescent="0.35">
      <c r="A38" s="1" t="s">
        <v>63</v>
      </c>
      <c r="B38" s="2" t="s">
        <v>18</v>
      </c>
      <c r="C38" s="2" t="str">
        <f>HYPERLINK("https://team-261i.testit.software/projects/1/tests/106", "NFR-007 - Работа в Microsoft Edge")</f>
        <v>NFR-007 - Работа в Microsoft Edge</v>
      </c>
      <c r="D38" s="1" t="s">
        <v>19</v>
      </c>
      <c r="E38" s="1" t="s">
        <v>20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  <c r="L38" s="1" t="s">
        <v>21</v>
      </c>
      <c r="M38" s="1" t="s">
        <v>22</v>
      </c>
      <c r="N38" s="1" t="s">
        <v>64</v>
      </c>
      <c r="O38" s="1" t="s">
        <v>24</v>
      </c>
      <c r="P38" s="1" t="s">
        <v>25</v>
      </c>
      <c r="Q38" s="1" t="s">
        <v>20</v>
      </c>
    </row>
    <row r="39" spans="1:17" x14ac:dyDescent="0.35">
      <c r="A39" s="1" t="s">
        <v>20</v>
      </c>
      <c r="B39" s="2" t="s">
        <v>20</v>
      </c>
      <c r="C39" s="2" t="s">
        <v>20</v>
      </c>
      <c r="D39" s="1" t="s">
        <v>20</v>
      </c>
      <c r="E39" s="1" t="s">
        <v>20</v>
      </c>
      <c r="F39" s="1" t="s">
        <v>65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</row>
    <row r="40" spans="1:17" x14ac:dyDescent="0.35">
      <c r="A40" s="1" t="s">
        <v>20</v>
      </c>
      <c r="B40" s="2" t="s">
        <v>20</v>
      </c>
      <c r="C40" s="2" t="s">
        <v>20</v>
      </c>
      <c r="D40" s="1" t="s">
        <v>20</v>
      </c>
      <c r="E40" s="1" t="s">
        <v>20</v>
      </c>
      <c r="F40" s="1" t="s">
        <v>56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</row>
    <row r="41" spans="1:17" x14ac:dyDescent="0.35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20</v>
      </c>
      <c r="F41" s="1" t="s">
        <v>57</v>
      </c>
      <c r="G41" s="1" t="s">
        <v>20</v>
      </c>
      <c r="H41" s="1" t="s">
        <v>20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</row>
    <row r="42" spans="1:17" x14ac:dyDescent="0.35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58</v>
      </c>
      <c r="G42" s="1" t="s">
        <v>20</v>
      </c>
      <c r="H42" s="1" t="s">
        <v>20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</row>
    <row r="43" spans="1:17" x14ac:dyDescent="0.35">
      <c r="A43" s="1" t="s">
        <v>20</v>
      </c>
      <c r="B43" s="2" t="s">
        <v>20</v>
      </c>
      <c r="C43" s="2" t="s">
        <v>20</v>
      </c>
      <c r="D43" s="1" t="s">
        <v>20</v>
      </c>
      <c r="E43" s="1" t="s">
        <v>20</v>
      </c>
      <c r="F43" s="1" t="s">
        <v>59</v>
      </c>
      <c r="G43" s="1" t="s">
        <v>20</v>
      </c>
      <c r="H43" s="1" t="s">
        <v>20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</row>
    <row r="44" spans="1:17" ht="29" x14ac:dyDescent="0.35">
      <c r="A44" s="1" t="s">
        <v>66</v>
      </c>
      <c r="B44" s="2" t="s">
        <v>18</v>
      </c>
      <c r="C44" s="2" t="str">
        <f>HYPERLINK("https://team-261i.testit.software/projects/1/tests/107", "NFR-008 - Навигация по интерфейсу с использованием клавиатуры")</f>
        <v>NFR-008 - Навигация по интерфейсу с использованием клавиатуры</v>
      </c>
      <c r="D44" s="1" t="s">
        <v>19</v>
      </c>
      <c r="E44" s="1" t="s">
        <v>20</v>
      </c>
      <c r="F44" s="1" t="s">
        <v>20</v>
      </c>
      <c r="G44" s="1" t="s">
        <v>20</v>
      </c>
      <c r="H44" s="1" t="s">
        <v>20</v>
      </c>
      <c r="I44" s="1" t="s">
        <v>20</v>
      </c>
      <c r="J44" s="1" t="s">
        <v>20</v>
      </c>
      <c r="K44" s="1" t="s">
        <v>20</v>
      </c>
      <c r="L44" s="1" t="s">
        <v>21</v>
      </c>
      <c r="M44" s="1" t="s">
        <v>22</v>
      </c>
      <c r="N44" s="1" t="s">
        <v>67</v>
      </c>
      <c r="O44" s="1" t="s">
        <v>24</v>
      </c>
      <c r="P44" s="1" t="s">
        <v>25</v>
      </c>
      <c r="Q44" s="1" t="s">
        <v>20</v>
      </c>
    </row>
    <row r="45" spans="1:17" x14ac:dyDescent="0.35">
      <c r="A45" s="1" t="s">
        <v>20</v>
      </c>
      <c r="B45" s="2" t="s">
        <v>20</v>
      </c>
      <c r="C45" s="2" t="s">
        <v>20</v>
      </c>
      <c r="D45" s="1" t="s">
        <v>20</v>
      </c>
      <c r="E45" s="1" t="s">
        <v>20</v>
      </c>
      <c r="F45" s="1" t="s">
        <v>68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 t="s">
        <v>20</v>
      </c>
      <c r="Q45" s="1" t="s">
        <v>20</v>
      </c>
    </row>
    <row r="46" spans="1:17" x14ac:dyDescent="0.35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20</v>
      </c>
      <c r="F46" s="1" t="s">
        <v>69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</row>
    <row r="47" spans="1:17" x14ac:dyDescent="0.35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20</v>
      </c>
      <c r="F47" s="1" t="s">
        <v>70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</row>
    <row r="48" spans="1:17" x14ac:dyDescent="0.35">
      <c r="A48" s="1" t="s">
        <v>20</v>
      </c>
      <c r="B48" s="2" t="s">
        <v>20</v>
      </c>
      <c r="C48" s="2" t="s">
        <v>20</v>
      </c>
      <c r="D48" s="1" t="s">
        <v>20</v>
      </c>
      <c r="E48" s="1" t="s">
        <v>20</v>
      </c>
      <c r="F48" s="1" t="s">
        <v>71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</row>
    <row r="49" spans="1:17" x14ac:dyDescent="0.35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20</v>
      </c>
      <c r="F49" s="1" t="s">
        <v>72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</row>
    <row r="50" spans="1:17" ht="29" x14ac:dyDescent="0.35">
      <c r="A50" s="1" t="s">
        <v>73</v>
      </c>
      <c r="B50" s="2" t="s">
        <v>18</v>
      </c>
      <c r="C50" s="2" t="str">
        <f>HYPERLINK("https://team-261i.testit.software/projects/1/tests/108", "NFR-009 Адаптивное отображение на мобильном экране")</f>
        <v>NFR-009 Адаптивное отображение на мобильном экране</v>
      </c>
      <c r="D50" s="1" t="s">
        <v>19</v>
      </c>
      <c r="E50" s="1" t="s">
        <v>20</v>
      </c>
      <c r="F50" s="1" t="s">
        <v>20</v>
      </c>
      <c r="G50" s="1" t="s">
        <v>20</v>
      </c>
      <c r="H50" s="1" t="s">
        <v>20</v>
      </c>
      <c r="I50" s="1" t="s">
        <v>20</v>
      </c>
      <c r="J50" s="1" t="s">
        <v>20</v>
      </c>
      <c r="K50" s="1" t="s">
        <v>20</v>
      </c>
      <c r="L50" s="1" t="s">
        <v>53</v>
      </c>
      <c r="M50" s="1" t="s">
        <v>22</v>
      </c>
      <c r="N50" s="1" t="s">
        <v>74</v>
      </c>
      <c r="O50" s="1" t="s">
        <v>24</v>
      </c>
      <c r="P50" s="1" t="s">
        <v>25</v>
      </c>
      <c r="Q50" s="1" t="s">
        <v>20</v>
      </c>
    </row>
    <row r="51" spans="1:17" x14ac:dyDescent="0.35">
      <c r="A51" s="1" t="s">
        <v>20</v>
      </c>
      <c r="B51" s="2" t="s">
        <v>20</v>
      </c>
      <c r="C51" s="2" t="s">
        <v>20</v>
      </c>
      <c r="D51" s="1" t="s">
        <v>20</v>
      </c>
      <c r="E51" s="1" t="s">
        <v>20</v>
      </c>
      <c r="F51" s="1" t="s">
        <v>75</v>
      </c>
      <c r="G51" s="1" t="s">
        <v>20</v>
      </c>
      <c r="H51" s="1" t="s">
        <v>20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</row>
    <row r="52" spans="1:17" x14ac:dyDescent="0.35">
      <c r="A52" s="1" t="s">
        <v>20</v>
      </c>
      <c r="B52" s="2" t="s">
        <v>20</v>
      </c>
      <c r="C52" s="2" t="s">
        <v>20</v>
      </c>
      <c r="D52" s="1" t="s">
        <v>20</v>
      </c>
      <c r="E52" s="1" t="s">
        <v>20</v>
      </c>
      <c r="F52" s="1" t="s">
        <v>76</v>
      </c>
      <c r="G52" s="1" t="s">
        <v>20</v>
      </c>
      <c r="H52" s="1" t="s">
        <v>20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</row>
    <row r="53" spans="1:17" x14ac:dyDescent="0.35">
      <c r="A53" s="1" t="s">
        <v>20</v>
      </c>
      <c r="B53" s="2" t="s">
        <v>20</v>
      </c>
      <c r="C53" s="2" t="s">
        <v>20</v>
      </c>
      <c r="D53" s="1" t="s">
        <v>20</v>
      </c>
      <c r="E53" s="1" t="s">
        <v>20</v>
      </c>
      <c r="F53" s="1" t="s">
        <v>77</v>
      </c>
      <c r="G53" s="1" t="s">
        <v>20</v>
      </c>
      <c r="H53" s="1" t="s">
        <v>20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</row>
    <row r="54" spans="1:17" x14ac:dyDescent="0.35">
      <c r="A54" s="1" t="s">
        <v>20</v>
      </c>
      <c r="B54" s="2" t="s">
        <v>20</v>
      </c>
      <c r="C54" s="2" t="s">
        <v>20</v>
      </c>
      <c r="D54" s="1" t="s">
        <v>20</v>
      </c>
      <c r="E54" s="1" t="s">
        <v>20</v>
      </c>
      <c r="F54" s="1" t="s">
        <v>78</v>
      </c>
      <c r="G54" s="1" t="s">
        <v>20</v>
      </c>
      <c r="H54" s="1" t="s">
        <v>20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</row>
    <row r="55" spans="1:17" x14ac:dyDescent="0.35">
      <c r="A55" s="1" t="s">
        <v>20</v>
      </c>
      <c r="B55" s="2" t="s">
        <v>20</v>
      </c>
      <c r="C55" s="2" t="s">
        <v>20</v>
      </c>
      <c r="D55" s="1" t="s">
        <v>20</v>
      </c>
      <c r="E55" s="1" t="s">
        <v>20</v>
      </c>
      <c r="F55" s="1" t="s">
        <v>79</v>
      </c>
      <c r="G55" s="1" t="s">
        <v>20</v>
      </c>
      <c r="H55" s="1" t="s">
        <v>20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20</v>
      </c>
      <c r="Q55" s="1" t="s">
        <v>20</v>
      </c>
    </row>
    <row r="56" spans="1:17" x14ac:dyDescent="0.35">
      <c r="A56" s="1" t="s">
        <v>20</v>
      </c>
      <c r="B56" s="2" t="s">
        <v>20</v>
      </c>
      <c r="C56" s="2" t="s">
        <v>20</v>
      </c>
      <c r="D56" s="1" t="s">
        <v>20</v>
      </c>
      <c r="E56" s="1" t="s">
        <v>20</v>
      </c>
      <c r="F56" s="1" t="s">
        <v>80</v>
      </c>
      <c r="G56" s="1" t="s">
        <v>20</v>
      </c>
      <c r="H56" s="1" t="s">
        <v>20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20</v>
      </c>
      <c r="Q56" s="1" t="s">
        <v>20</v>
      </c>
    </row>
    <row r="57" spans="1:17" ht="29" x14ac:dyDescent="0.35">
      <c r="A57" s="1" t="s">
        <v>81</v>
      </c>
      <c r="B57" s="2" t="s">
        <v>18</v>
      </c>
      <c r="C57" s="2" t="str">
        <f>HYPERLINK("https://team-261i.testit.software/projects/1/tests/109", "NFR-010 - Отсутствие критических визуальных ошибок")</f>
        <v>NFR-010 - Отсутствие критических визуальных ошибок</v>
      </c>
      <c r="D57" s="1" t="s">
        <v>19</v>
      </c>
      <c r="E57" s="1" t="s">
        <v>20</v>
      </c>
      <c r="F57" s="1" t="s">
        <v>20</v>
      </c>
      <c r="G57" s="1" t="s">
        <v>20</v>
      </c>
      <c r="H57" s="1" t="s">
        <v>20</v>
      </c>
      <c r="I57" s="1" t="s">
        <v>20</v>
      </c>
      <c r="J57" s="1" t="s">
        <v>20</v>
      </c>
      <c r="K57" s="1" t="s">
        <v>20</v>
      </c>
      <c r="L57" s="1" t="s">
        <v>53</v>
      </c>
      <c r="M57" s="1" t="s">
        <v>22</v>
      </c>
      <c r="N57" s="1" t="s">
        <v>82</v>
      </c>
      <c r="O57" s="1" t="s">
        <v>24</v>
      </c>
      <c r="P57" s="1" t="s">
        <v>25</v>
      </c>
      <c r="Q57" s="1" t="s">
        <v>20</v>
      </c>
    </row>
    <row r="58" spans="1:17" x14ac:dyDescent="0.35">
      <c r="A58" s="1" t="s">
        <v>20</v>
      </c>
      <c r="B58" s="2" t="s">
        <v>20</v>
      </c>
      <c r="C58" s="2" t="s">
        <v>20</v>
      </c>
      <c r="D58" s="1" t="s">
        <v>20</v>
      </c>
      <c r="E58" s="1" t="s">
        <v>20</v>
      </c>
      <c r="F58" s="1" t="s">
        <v>83</v>
      </c>
      <c r="G58" s="1" t="s">
        <v>20</v>
      </c>
      <c r="H58" s="1" t="s">
        <v>20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 t="s">
        <v>20</v>
      </c>
      <c r="Q58" s="1" t="s">
        <v>20</v>
      </c>
    </row>
    <row r="59" spans="1:17" x14ac:dyDescent="0.35">
      <c r="A59" s="1" t="s">
        <v>20</v>
      </c>
      <c r="B59" s="2" t="s">
        <v>20</v>
      </c>
      <c r="C59" s="2" t="s">
        <v>20</v>
      </c>
      <c r="D59" s="1" t="s">
        <v>20</v>
      </c>
      <c r="E59" s="1" t="s">
        <v>20</v>
      </c>
      <c r="F59" s="1" t="s">
        <v>84</v>
      </c>
      <c r="G59" s="1" t="s">
        <v>20</v>
      </c>
      <c r="H59" s="1" t="s">
        <v>20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20</v>
      </c>
      <c r="Q59" s="1" t="s">
        <v>20</v>
      </c>
    </row>
    <row r="60" spans="1:17" x14ac:dyDescent="0.35">
      <c r="A60" s="1" t="s">
        <v>20</v>
      </c>
      <c r="B60" s="2" t="s">
        <v>20</v>
      </c>
      <c r="C60" s="2" t="s">
        <v>20</v>
      </c>
      <c r="D60" s="1" t="s">
        <v>20</v>
      </c>
      <c r="E60" s="1" t="s">
        <v>20</v>
      </c>
      <c r="F60" s="1" t="s">
        <v>85</v>
      </c>
      <c r="G60" s="1" t="s">
        <v>20</v>
      </c>
      <c r="H60" s="1" t="s">
        <v>20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20</v>
      </c>
      <c r="Q60" s="1" t="s">
        <v>20</v>
      </c>
    </row>
    <row r="61" spans="1:17" x14ac:dyDescent="0.35">
      <c r="A61" s="1" t="s">
        <v>20</v>
      </c>
      <c r="B61" s="2" t="s">
        <v>20</v>
      </c>
      <c r="C61" s="2" t="s">
        <v>20</v>
      </c>
      <c r="D61" s="1" t="s">
        <v>20</v>
      </c>
      <c r="E61" s="1" t="s">
        <v>20</v>
      </c>
      <c r="F61" s="1" t="s">
        <v>86</v>
      </c>
      <c r="G61" s="1" t="s">
        <v>20</v>
      </c>
      <c r="H61" s="1" t="s">
        <v>20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20</v>
      </c>
      <c r="Q61" s="1" t="s">
        <v>20</v>
      </c>
    </row>
    <row r="62" spans="1:17" x14ac:dyDescent="0.35">
      <c r="A62" s="1" t="s">
        <v>20</v>
      </c>
      <c r="B62" s="2" t="s">
        <v>20</v>
      </c>
      <c r="C62" s="2" t="s">
        <v>20</v>
      </c>
      <c r="D62" s="1" t="s">
        <v>20</v>
      </c>
      <c r="E62" s="1" t="s">
        <v>20</v>
      </c>
      <c r="F62" s="1" t="s">
        <v>87</v>
      </c>
      <c r="G62" s="1" t="s">
        <v>20</v>
      </c>
      <c r="H62" s="1" t="s">
        <v>20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20</v>
      </c>
      <c r="Q62" s="1" t="s">
        <v>20</v>
      </c>
    </row>
    <row r="63" spans="1:17" x14ac:dyDescent="0.35">
      <c r="A63" s="1" t="s">
        <v>20</v>
      </c>
      <c r="B63" s="2" t="s">
        <v>20</v>
      </c>
      <c r="C63" s="2" t="s">
        <v>20</v>
      </c>
      <c r="D63" s="1" t="s">
        <v>20</v>
      </c>
      <c r="E63" s="1" t="s">
        <v>20</v>
      </c>
      <c r="F63" s="1" t="s">
        <v>88</v>
      </c>
      <c r="G63" s="1" t="s">
        <v>20</v>
      </c>
      <c r="H63" s="1" t="s">
        <v>20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20</v>
      </c>
      <c r="Q63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Project_Первый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2026-10-18T12:38:38Z</dcterms:created>
  <dcterms:modified xsi:type="dcterms:W3CDTF">2026-10-18T12:40:23Z</dcterms:modified>
</cp:coreProperties>
</file>